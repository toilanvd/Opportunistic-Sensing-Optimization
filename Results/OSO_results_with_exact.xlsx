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ungnguyen\Dropbox\PTIT\ALBP\12_MasterThesis (paper1-JATIT-QxQ4)\Journal-undecided\"/>
    </mc:Choice>
  </mc:AlternateContent>
  <xr:revisionPtr revIDLastSave="0" documentId="13_ncr:1_{618DE184-50F9-4024-83AF-3EDBAB874065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General" sheetId="1" r:id="rId1"/>
    <sheet name="Simplifi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1" i="2" l="1"/>
  <c r="R61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S3" i="2"/>
  <c r="R3" i="2"/>
  <c r="S117" i="1"/>
  <c r="R117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S3" i="1"/>
  <c r="R3" i="1"/>
</calcChain>
</file>

<file path=xl/sharedStrings.xml><?xml version="1.0" encoding="utf-8"?>
<sst xmlns="http://schemas.openxmlformats.org/spreadsheetml/2006/main" count="52" uniqueCount="18">
  <si>
    <t>Parameters</t>
  </si>
  <si>
    <t>Exact (CP-SAT)</t>
  </si>
  <si>
    <t>Greedy</t>
  </si>
  <si>
    <t>SA</t>
  </si>
  <si>
    <t>GA</t>
  </si>
  <si>
    <t>p</t>
  </si>
  <si>
    <t>q</t>
  </si>
  <si>
    <t>C</t>
  </si>
  <si>
    <t>R</t>
  </si>
  <si>
    <t>m</t>
  </si>
  <si>
    <t>k</t>
  </si>
  <si>
    <t>Cover</t>
  </si>
  <si>
    <t>Time (s)</t>
  </si>
  <si>
    <t>Eff (%)</t>
  </si>
  <si>
    <t>Gap</t>
  </si>
  <si>
    <t>SA vs Greedy</t>
  </si>
  <si>
    <t>GA vs Greedy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</si>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</sst>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sz val="9"/>
      <color rgb="FF666666"/>
      <name val="Times New Roman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BBBBB"/>
      </left>
      <right style="medium">
        <color rgb="FF555555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2" fontId="3" fillId="7" borderId="2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/>
    </xf>
    <xf numFmtId="164" fontId="3" fillId="7" borderId="1" xfId="0" applyNumberFormat="1" applyFont="1" applyFill="1" applyBorder="1" applyAlignment="1">
      <alignment horizontal="right" vertical="center"/>
    </xf>
    <xf numFmtId="164" fontId="3" fillId="7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right" vertical="center"/>
    </xf>
    <xf numFmtId="164" fontId="3" fillId="5" borderId="2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right" vertical="center"/>
    </xf>
    <xf numFmtId="164" fontId="3" fillId="6" borderId="2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0" fontId="4" fillId="0" borderId="0" xfId="0" applyFont="1"/>
    <xf numFmtId="0" fontId="3" fillId="4" borderId="3" xfId="0" applyFont="1" applyFill="1" applyBorder="1" applyAlignment="1">
      <alignment horizontal="right" vertical="center"/>
    </xf>
    <xf numFmtId="0" fontId="3" fillId="7" borderId="3" xfId="0" applyFont="1" applyFill="1" applyBorder="1" applyAlignment="1">
      <alignment horizontal="right" vertical="center"/>
    </xf>
    <xf numFmtId="0" fontId="2" fillId="6" borderId="0" xfId="0" applyFont="1" applyFill="1" applyAlignment="1">
      <alignment horizontal="center" vertical="center" wrapText="1"/>
    </xf>
    <xf numFmtId="164" fontId="0" fillId="0" borderId="0" xfId="0" applyNumberFormat="1"/>
    <xf numFmtId="0" fontId="1" fillId="5" borderId="1" xfId="0" applyFont="1" applyFill="1" applyBorder="1" applyAlignment="1">
      <alignment horizontal="center" vertical="center" wrapText="1"/>
    </xf>
    <xf numFmtId="0" fontId="0" fillId="0" borderId="0" xfId="0"/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8"/>
  <sheetViews>
    <sheetView topLeftCell="E1" workbookViewId="0">
      <pane ySplit="2" topLeftCell="A3" activePane="bottomLeft" state="frozen"/>
      <selection pane="bottomLeft" activeCell="R1" sqref="R1:S1"/>
    </sheetView>
  </sheetViews>
  <sheetFormatPr defaultRowHeight="15" x14ac:dyDescent="0.25"/>
  <cols>
    <col min="1" max="2" width="5" customWidth="1"/>
    <col min="3" max="4" width="6" customWidth="1"/>
    <col min="5" max="6" width="5" customWidth="1"/>
    <col min="7" max="7" width="8" customWidth="1"/>
    <col min="8" max="8" width="9" customWidth="1"/>
    <col min="9" max="9" width="8" customWidth="1"/>
    <col min="10" max="11" width="9" customWidth="1"/>
    <col min="12" max="12" width="8" customWidth="1"/>
    <col min="13" max="14" width="9" customWidth="1"/>
    <col min="15" max="15" width="8" customWidth="1"/>
    <col min="16" max="17" width="9" customWidth="1"/>
  </cols>
  <sheetData>
    <row r="1" spans="1:19" ht="21.95" customHeight="1" x14ac:dyDescent="0.25">
      <c r="A1" s="36" t="s">
        <v>0</v>
      </c>
      <c r="B1" s="33"/>
      <c r="C1" s="33"/>
      <c r="D1" s="33"/>
      <c r="E1" s="33"/>
      <c r="F1" s="33"/>
      <c r="G1" s="35" t="s">
        <v>1</v>
      </c>
      <c r="H1" s="33"/>
      <c r="I1" s="37" t="s">
        <v>2</v>
      </c>
      <c r="J1" s="33"/>
      <c r="K1" s="33"/>
      <c r="L1" s="32" t="s">
        <v>3</v>
      </c>
      <c r="M1" s="33"/>
      <c r="N1" s="33"/>
      <c r="O1" s="34" t="s">
        <v>4</v>
      </c>
      <c r="P1" s="33"/>
      <c r="Q1" s="33"/>
      <c r="R1" s="40" t="s">
        <v>14</v>
      </c>
      <c r="S1" s="40"/>
    </row>
    <row r="2" spans="1:19" ht="30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3" t="s">
        <v>12</v>
      </c>
      <c r="I2" s="4" t="s">
        <v>11</v>
      </c>
      <c r="J2" s="4" t="s">
        <v>13</v>
      </c>
      <c r="K2" s="5" t="s">
        <v>12</v>
      </c>
      <c r="L2" s="6" t="s">
        <v>11</v>
      </c>
      <c r="M2" s="6" t="s">
        <v>13</v>
      </c>
      <c r="N2" s="7" t="s">
        <v>12</v>
      </c>
      <c r="O2" s="8" t="s">
        <v>11</v>
      </c>
      <c r="P2" s="8" t="s">
        <v>13</v>
      </c>
      <c r="Q2" s="9" t="s">
        <v>12</v>
      </c>
      <c r="R2" s="30" t="s">
        <v>15</v>
      </c>
      <c r="S2" s="30" t="s">
        <v>16</v>
      </c>
    </row>
    <row r="3" spans="1:19" x14ac:dyDescent="0.25">
      <c r="A3" s="10">
        <v>10</v>
      </c>
      <c r="B3" s="10">
        <v>12</v>
      </c>
      <c r="C3" s="10">
        <v>10</v>
      </c>
      <c r="D3" s="11">
        <v>0.5</v>
      </c>
      <c r="E3" s="10">
        <v>1</v>
      </c>
      <c r="F3" s="10">
        <v>2</v>
      </c>
      <c r="G3" s="12">
        <v>7</v>
      </c>
      <c r="H3" s="13">
        <v>0.09</v>
      </c>
      <c r="I3" s="12">
        <v>7</v>
      </c>
      <c r="J3" s="14">
        <v>100</v>
      </c>
      <c r="K3" s="28">
        <v>3.0000000000000001E-3</v>
      </c>
      <c r="L3" s="12">
        <v>7</v>
      </c>
      <c r="M3" s="14">
        <v>100</v>
      </c>
      <c r="N3" s="13">
        <v>13.263999999999999</v>
      </c>
      <c r="O3" s="12">
        <v>7</v>
      </c>
      <c r="P3" s="14">
        <v>100</v>
      </c>
      <c r="Q3" s="13">
        <v>0.82</v>
      </c>
      <c r="R3" s="31">
        <f>M3-J3</f>
        <v>0</v>
      </c>
      <c r="S3" s="31">
        <f>P3-J3</f>
        <v>0</v>
      </c>
    </row>
    <row r="4" spans="1:19" x14ac:dyDescent="0.25">
      <c r="A4" s="15">
        <v>10</v>
      </c>
      <c r="B4" s="15">
        <v>12</v>
      </c>
      <c r="C4" s="15">
        <v>10</v>
      </c>
      <c r="D4" s="16">
        <v>1</v>
      </c>
      <c r="E4" s="15">
        <v>1</v>
      </c>
      <c r="F4" s="15">
        <v>2</v>
      </c>
      <c r="G4" s="17">
        <v>6</v>
      </c>
      <c r="H4" s="18">
        <v>0.08</v>
      </c>
      <c r="I4" s="19">
        <v>6</v>
      </c>
      <c r="J4" s="20">
        <v>100</v>
      </c>
      <c r="K4" s="29">
        <v>3.0000000000000001E-3</v>
      </c>
      <c r="L4" s="21">
        <v>6</v>
      </c>
      <c r="M4" s="22">
        <v>100</v>
      </c>
      <c r="N4" s="23">
        <v>12.19</v>
      </c>
      <c r="O4" s="24">
        <v>6</v>
      </c>
      <c r="P4" s="25">
        <v>100</v>
      </c>
      <c r="Q4" s="26">
        <v>0.86299999999999999</v>
      </c>
      <c r="R4" s="31">
        <f t="shared" ref="R4:R67" si="0">M4-J4</f>
        <v>0</v>
      </c>
      <c r="S4" s="31">
        <f t="shared" ref="S4:S67" si="1">P4-J4</f>
        <v>0</v>
      </c>
    </row>
    <row r="5" spans="1:19" x14ac:dyDescent="0.25">
      <c r="A5" s="10">
        <v>10</v>
      </c>
      <c r="B5" s="10">
        <v>12</v>
      </c>
      <c r="C5" s="10">
        <v>10</v>
      </c>
      <c r="D5" s="11">
        <v>2</v>
      </c>
      <c r="E5" s="10">
        <v>1</v>
      </c>
      <c r="F5" s="10">
        <v>2</v>
      </c>
      <c r="G5" s="12">
        <v>8</v>
      </c>
      <c r="H5" s="13">
        <v>0.12</v>
      </c>
      <c r="I5" s="12">
        <v>8</v>
      </c>
      <c r="J5" s="14">
        <v>100</v>
      </c>
      <c r="K5" s="28">
        <v>4.0000000000000001E-3</v>
      </c>
      <c r="L5" s="12">
        <v>8</v>
      </c>
      <c r="M5" s="14">
        <v>100</v>
      </c>
      <c r="N5" s="13">
        <v>18.646000000000001</v>
      </c>
      <c r="O5" s="12">
        <v>8</v>
      </c>
      <c r="P5" s="14">
        <v>100</v>
      </c>
      <c r="Q5" s="13">
        <v>0.93100000000000005</v>
      </c>
      <c r="R5" s="31">
        <f t="shared" si="0"/>
        <v>0</v>
      </c>
      <c r="S5" s="31">
        <f t="shared" si="1"/>
        <v>0</v>
      </c>
    </row>
    <row r="6" spans="1:19" x14ac:dyDescent="0.25">
      <c r="A6" s="15">
        <v>10</v>
      </c>
      <c r="B6" s="15">
        <v>12</v>
      </c>
      <c r="C6" s="15">
        <v>20</v>
      </c>
      <c r="D6" s="16">
        <v>0.5</v>
      </c>
      <c r="E6" s="15">
        <v>2</v>
      </c>
      <c r="F6" s="15">
        <v>2</v>
      </c>
      <c r="G6" s="17">
        <v>13</v>
      </c>
      <c r="H6" s="18">
        <v>0.16</v>
      </c>
      <c r="I6" s="19">
        <v>12</v>
      </c>
      <c r="J6" s="20">
        <v>92.308000000000007</v>
      </c>
      <c r="K6" s="29">
        <v>7.0000000000000001E-3</v>
      </c>
      <c r="L6" s="21">
        <v>13</v>
      </c>
      <c r="M6" s="22">
        <v>100</v>
      </c>
      <c r="N6" s="23">
        <v>17.562000000000001</v>
      </c>
      <c r="O6" s="24">
        <v>13</v>
      </c>
      <c r="P6" s="25">
        <v>100</v>
      </c>
      <c r="Q6" s="26">
        <v>2.9009999999999998</v>
      </c>
      <c r="R6" s="31">
        <f t="shared" si="0"/>
        <v>7.6919999999999931</v>
      </c>
      <c r="S6" s="31">
        <f t="shared" si="1"/>
        <v>7.6919999999999931</v>
      </c>
    </row>
    <row r="7" spans="1:19" x14ac:dyDescent="0.25">
      <c r="A7" s="10">
        <v>10</v>
      </c>
      <c r="B7" s="10">
        <v>12</v>
      </c>
      <c r="C7" s="10">
        <v>20</v>
      </c>
      <c r="D7" s="11">
        <v>1</v>
      </c>
      <c r="E7" s="10">
        <v>1</v>
      </c>
      <c r="F7" s="10">
        <v>3</v>
      </c>
      <c r="G7" s="12">
        <v>12</v>
      </c>
      <c r="H7" s="13">
        <v>0.21</v>
      </c>
      <c r="I7" s="12">
        <v>11</v>
      </c>
      <c r="J7" s="14">
        <v>91.667000000000002</v>
      </c>
      <c r="K7" s="28">
        <v>8.0000000000000002E-3</v>
      </c>
      <c r="L7" s="12">
        <v>11</v>
      </c>
      <c r="M7" s="14">
        <v>91.667000000000002</v>
      </c>
      <c r="N7" s="13">
        <v>28.789000000000001</v>
      </c>
      <c r="O7" s="12">
        <v>12</v>
      </c>
      <c r="P7" s="14">
        <v>100</v>
      </c>
      <c r="Q7" s="13">
        <v>1.1850000000000001</v>
      </c>
      <c r="R7" s="31">
        <f t="shared" si="0"/>
        <v>0</v>
      </c>
      <c r="S7" s="31">
        <f t="shared" si="1"/>
        <v>8.3329999999999984</v>
      </c>
    </row>
    <row r="8" spans="1:19" x14ac:dyDescent="0.25">
      <c r="A8" s="15">
        <v>10</v>
      </c>
      <c r="B8" s="15">
        <v>12</v>
      </c>
      <c r="C8" s="15">
        <v>20</v>
      </c>
      <c r="D8" s="16">
        <v>2</v>
      </c>
      <c r="E8" s="15">
        <v>1</v>
      </c>
      <c r="F8" s="15">
        <v>2</v>
      </c>
      <c r="G8" s="17">
        <v>15</v>
      </c>
      <c r="H8" s="18">
        <v>0.25</v>
      </c>
      <c r="I8" s="19">
        <v>15</v>
      </c>
      <c r="J8" s="20">
        <v>100</v>
      </c>
      <c r="K8" s="29">
        <v>1.0999999999999999E-2</v>
      </c>
      <c r="L8" s="21">
        <v>15</v>
      </c>
      <c r="M8" s="22">
        <v>100</v>
      </c>
      <c r="N8" s="23">
        <v>42.148000000000003</v>
      </c>
      <c r="O8" s="24">
        <v>15</v>
      </c>
      <c r="P8" s="25">
        <v>100</v>
      </c>
      <c r="Q8" s="26">
        <v>1.1120000000000001</v>
      </c>
      <c r="R8" s="31">
        <f t="shared" si="0"/>
        <v>0</v>
      </c>
      <c r="S8" s="31">
        <f t="shared" si="1"/>
        <v>0</v>
      </c>
    </row>
    <row r="9" spans="1:19" x14ac:dyDescent="0.25">
      <c r="A9" s="10">
        <v>10</v>
      </c>
      <c r="B9" s="10">
        <v>12</v>
      </c>
      <c r="C9" s="10">
        <v>25</v>
      </c>
      <c r="D9" s="11">
        <v>0.5</v>
      </c>
      <c r="E9" s="10">
        <v>1</v>
      </c>
      <c r="F9" s="10">
        <v>5</v>
      </c>
      <c r="G9" s="12">
        <v>12</v>
      </c>
      <c r="H9" s="13">
        <v>0.17</v>
      </c>
      <c r="I9" s="12">
        <v>12</v>
      </c>
      <c r="J9" s="14">
        <v>100</v>
      </c>
      <c r="K9" s="28">
        <v>8.9999999999999993E-3</v>
      </c>
      <c r="L9" s="12">
        <v>12</v>
      </c>
      <c r="M9" s="14">
        <v>100</v>
      </c>
      <c r="N9" s="13">
        <v>27.154</v>
      </c>
      <c r="O9" s="12">
        <v>12</v>
      </c>
      <c r="P9" s="14">
        <v>100</v>
      </c>
      <c r="Q9" s="13">
        <v>1.294</v>
      </c>
      <c r="R9" s="31">
        <f t="shared" si="0"/>
        <v>0</v>
      </c>
      <c r="S9" s="31">
        <f t="shared" si="1"/>
        <v>0</v>
      </c>
    </row>
    <row r="10" spans="1:19" x14ac:dyDescent="0.25">
      <c r="A10" s="15">
        <v>10</v>
      </c>
      <c r="B10" s="15">
        <v>12</v>
      </c>
      <c r="C10" s="15">
        <v>25</v>
      </c>
      <c r="D10" s="16">
        <v>1</v>
      </c>
      <c r="E10" s="15">
        <v>2</v>
      </c>
      <c r="F10" s="15">
        <v>1</v>
      </c>
      <c r="G10" s="17">
        <v>15</v>
      </c>
      <c r="H10" s="18">
        <v>0.22</v>
      </c>
      <c r="I10" s="19">
        <v>15</v>
      </c>
      <c r="J10" s="20">
        <v>100</v>
      </c>
      <c r="K10" s="29">
        <v>1.0999999999999999E-2</v>
      </c>
      <c r="L10" s="21">
        <v>15</v>
      </c>
      <c r="M10" s="22">
        <v>100</v>
      </c>
      <c r="N10" s="23">
        <v>31.628</v>
      </c>
      <c r="O10" s="24">
        <v>15</v>
      </c>
      <c r="P10" s="25">
        <v>100</v>
      </c>
      <c r="Q10" s="26">
        <v>2.5099999999999998</v>
      </c>
      <c r="R10" s="31">
        <f t="shared" si="0"/>
        <v>0</v>
      </c>
      <c r="S10" s="31">
        <f t="shared" si="1"/>
        <v>0</v>
      </c>
    </row>
    <row r="11" spans="1:19" x14ac:dyDescent="0.25">
      <c r="A11" s="10">
        <v>10</v>
      </c>
      <c r="B11" s="10">
        <v>12</v>
      </c>
      <c r="C11" s="10">
        <v>25</v>
      </c>
      <c r="D11" s="11">
        <v>2</v>
      </c>
      <c r="E11" s="10">
        <v>1</v>
      </c>
      <c r="F11" s="10">
        <v>2</v>
      </c>
      <c r="G11" s="12">
        <v>18</v>
      </c>
      <c r="H11" s="13">
        <v>0.33</v>
      </c>
      <c r="I11" s="12">
        <v>18</v>
      </c>
      <c r="J11" s="14">
        <v>100</v>
      </c>
      <c r="K11" s="28">
        <v>1.4999999999999999E-2</v>
      </c>
      <c r="L11" s="12">
        <v>18</v>
      </c>
      <c r="M11" s="14">
        <v>100</v>
      </c>
      <c r="N11" s="13">
        <v>56.079000000000001</v>
      </c>
      <c r="O11" s="12">
        <v>18</v>
      </c>
      <c r="P11" s="14">
        <v>100</v>
      </c>
      <c r="Q11" s="13">
        <v>1.407</v>
      </c>
      <c r="R11" s="31">
        <f t="shared" si="0"/>
        <v>0</v>
      </c>
      <c r="S11" s="31">
        <f t="shared" si="1"/>
        <v>0</v>
      </c>
    </row>
    <row r="12" spans="1:19" x14ac:dyDescent="0.25">
      <c r="A12" s="15">
        <v>10</v>
      </c>
      <c r="B12" s="15">
        <v>12</v>
      </c>
      <c r="C12" s="15">
        <v>30</v>
      </c>
      <c r="D12" s="16">
        <v>0.5</v>
      </c>
      <c r="E12" s="15">
        <v>2</v>
      </c>
      <c r="F12" s="15">
        <v>4</v>
      </c>
      <c r="G12" s="17">
        <v>19</v>
      </c>
      <c r="H12" s="18">
        <v>0.23</v>
      </c>
      <c r="I12" s="19">
        <v>19</v>
      </c>
      <c r="J12" s="20">
        <v>100</v>
      </c>
      <c r="K12" s="29">
        <v>1.2999999999999999E-2</v>
      </c>
      <c r="L12" s="21">
        <v>19</v>
      </c>
      <c r="M12" s="22">
        <v>100</v>
      </c>
      <c r="N12" s="23">
        <v>28.03</v>
      </c>
      <c r="O12" s="24">
        <v>19</v>
      </c>
      <c r="P12" s="25">
        <v>100</v>
      </c>
      <c r="Q12" s="26">
        <v>2.7240000000000002</v>
      </c>
      <c r="R12" s="31">
        <f t="shared" si="0"/>
        <v>0</v>
      </c>
      <c r="S12" s="31">
        <f t="shared" si="1"/>
        <v>0</v>
      </c>
    </row>
    <row r="13" spans="1:19" x14ac:dyDescent="0.25">
      <c r="A13" s="10">
        <v>10</v>
      </c>
      <c r="B13" s="10">
        <v>12</v>
      </c>
      <c r="C13" s="10">
        <v>30</v>
      </c>
      <c r="D13" s="11">
        <v>1</v>
      </c>
      <c r="E13" s="10">
        <v>1</v>
      </c>
      <c r="F13" s="10">
        <v>4</v>
      </c>
      <c r="G13" s="12">
        <v>17</v>
      </c>
      <c r="H13" s="13">
        <v>0.3</v>
      </c>
      <c r="I13" s="12">
        <v>17</v>
      </c>
      <c r="J13" s="14">
        <v>100</v>
      </c>
      <c r="K13" s="28">
        <v>1.4E-2</v>
      </c>
      <c r="L13" s="12">
        <v>17</v>
      </c>
      <c r="M13" s="14">
        <v>100</v>
      </c>
      <c r="N13" s="13">
        <v>42.720999999999997</v>
      </c>
      <c r="O13" s="12">
        <v>17</v>
      </c>
      <c r="P13" s="14">
        <v>100</v>
      </c>
      <c r="Q13" s="13">
        <v>1.5820000000000001</v>
      </c>
      <c r="R13" s="31">
        <f t="shared" si="0"/>
        <v>0</v>
      </c>
      <c r="S13" s="31">
        <f t="shared" si="1"/>
        <v>0</v>
      </c>
    </row>
    <row r="14" spans="1:19" x14ac:dyDescent="0.25">
      <c r="A14" s="15">
        <v>10</v>
      </c>
      <c r="B14" s="15">
        <v>12</v>
      </c>
      <c r="C14" s="15">
        <v>30</v>
      </c>
      <c r="D14" s="16">
        <v>2</v>
      </c>
      <c r="E14" s="15">
        <v>1</v>
      </c>
      <c r="F14" s="15">
        <v>2</v>
      </c>
      <c r="G14" s="17">
        <v>22</v>
      </c>
      <c r="H14" s="18">
        <v>0.42</v>
      </c>
      <c r="I14" s="19">
        <v>21</v>
      </c>
      <c r="J14" s="20">
        <v>95.454999999999998</v>
      </c>
      <c r="K14" s="29">
        <v>1.9E-2</v>
      </c>
      <c r="L14" s="21">
        <v>21</v>
      </c>
      <c r="M14" s="22">
        <v>95.454999999999998</v>
      </c>
      <c r="N14" s="23">
        <v>62.366999999999997</v>
      </c>
      <c r="O14" s="24">
        <v>22</v>
      </c>
      <c r="P14" s="25">
        <v>100</v>
      </c>
      <c r="Q14" s="26">
        <v>1.6060000000000001</v>
      </c>
      <c r="R14" s="31">
        <f t="shared" si="0"/>
        <v>0</v>
      </c>
      <c r="S14" s="31">
        <f t="shared" si="1"/>
        <v>4.5450000000000017</v>
      </c>
    </row>
    <row r="15" spans="1:19" x14ac:dyDescent="0.25">
      <c r="A15" s="10">
        <v>10</v>
      </c>
      <c r="B15" s="10">
        <v>12</v>
      </c>
      <c r="C15" s="10">
        <v>40</v>
      </c>
      <c r="D15" s="11">
        <v>0.5</v>
      </c>
      <c r="E15" s="10">
        <v>2</v>
      </c>
      <c r="F15" s="10">
        <v>3</v>
      </c>
      <c r="G15" s="12">
        <v>24</v>
      </c>
      <c r="H15" s="13">
        <v>0.36</v>
      </c>
      <c r="I15" s="12">
        <v>24</v>
      </c>
      <c r="J15" s="14">
        <v>100</v>
      </c>
      <c r="K15" s="28">
        <v>0.02</v>
      </c>
      <c r="L15" s="12">
        <v>24</v>
      </c>
      <c r="M15" s="14">
        <v>100</v>
      </c>
      <c r="N15" s="13">
        <v>36.329000000000001</v>
      </c>
      <c r="O15" s="12">
        <v>24</v>
      </c>
      <c r="P15" s="14">
        <v>100</v>
      </c>
      <c r="Q15" s="13">
        <v>3.9180000000000001</v>
      </c>
      <c r="R15" s="31">
        <f t="shared" si="0"/>
        <v>0</v>
      </c>
      <c r="S15" s="31">
        <f t="shared" si="1"/>
        <v>0</v>
      </c>
    </row>
    <row r="16" spans="1:19" x14ac:dyDescent="0.25">
      <c r="A16" s="15">
        <v>10</v>
      </c>
      <c r="B16" s="15">
        <v>12</v>
      </c>
      <c r="C16" s="15">
        <v>40</v>
      </c>
      <c r="D16" s="16">
        <v>1</v>
      </c>
      <c r="E16" s="15">
        <v>1</v>
      </c>
      <c r="F16" s="15">
        <v>4</v>
      </c>
      <c r="G16" s="17">
        <v>22</v>
      </c>
      <c r="H16" s="18">
        <v>0.47</v>
      </c>
      <c r="I16" s="19">
        <v>20</v>
      </c>
      <c r="J16" s="20">
        <v>90.909000000000006</v>
      </c>
      <c r="K16" s="29">
        <v>2.3E-2</v>
      </c>
      <c r="L16" s="21">
        <v>20</v>
      </c>
      <c r="M16" s="22">
        <v>90.909000000000006</v>
      </c>
      <c r="N16" s="23">
        <v>63.075000000000003</v>
      </c>
      <c r="O16" s="24">
        <v>22</v>
      </c>
      <c r="P16" s="25">
        <v>100</v>
      </c>
      <c r="Q16" s="26">
        <v>2.2480000000000002</v>
      </c>
      <c r="R16" s="31">
        <f t="shared" si="0"/>
        <v>0</v>
      </c>
      <c r="S16" s="31">
        <f t="shared" si="1"/>
        <v>9.090999999999994</v>
      </c>
    </row>
    <row r="17" spans="1:19" x14ac:dyDescent="0.25">
      <c r="A17" s="10">
        <v>10</v>
      </c>
      <c r="B17" s="10">
        <v>12</v>
      </c>
      <c r="C17" s="10">
        <v>40</v>
      </c>
      <c r="D17" s="11">
        <v>2</v>
      </c>
      <c r="E17" s="10">
        <v>1</v>
      </c>
      <c r="F17" s="10">
        <v>2</v>
      </c>
      <c r="G17" s="12">
        <v>29</v>
      </c>
      <c r="H17" s="13">
        <v>0.56999999999999995</v>
      </c>
      <c r="I17" s="12">
        <v>28</v>
      </c>
      <c r="J17" s="14">
        <v>96.552000000000007</v>
      </c>
      <c r="K17" s="28">
        <v>3.5000000000000003E-2</v>
      </c>
      <c r="L17" s="12">
        <v>28</v>
      </c>
      <c r="M17" s="14">
        <v>96.552000000000007</v>
      </c>
      <c r="N17" s="13">
        <v>87.448999999999998</v>
      </c>
      <c r="O17" s="12">
        <v>29</v>
      </c>
      <c r="P17" s="14">
        <v>100</v>
      </c>
      <c r="Q17" s="13">
        <v>2.2229999999999999</v>
      </c>
      <c r="R17" s="31">
        <f t="shared" si="0"/>
        <v>0</v>
      </c>
      <c r="S17" s="31">
        <f t="shared" si="1"/>
        <v>3.4479999999999933</v>
      </c>
    </row>
    <row r="18" spans="1:19" x14ac:dyDescent="0.25">
      <c r="A18" s="15">
        <v>10</v>
      </c>
      <c r="B18" s="15">
        <v>12</v>
      </c>
      <c r="C18" s="15">
        <v>50</v>
      </c>
      <c r="D18" s="16">
        <v>0.5</v>
      </c>
      <c r="E18" s="15">
        <v>1</v>
      </c>
      <c r="F18" s="15">
        <v>5</v>
      </c>
      <c r="G18" s="17">
        <v>20</v>
      </c>
      <c r="H18" s="18">
        <v>0.41</v>
      </c>
      <c r="I18" s="19">
        <v>19</v>
      </c>
      <c r="J18" s="20">
        <v>95</v>
      </c>
      <c r="K18" s="29">
        <v>2.7E-2</v>
      </c>
      <c r="L18" s="21">
        <v>19</v>
      </c>
      <c r="M18" s="22">
        <v>95</v>
      </c>
      <c r="N18" s="23">
        <v>53.502000000000002</v>
      </c>
      <c r="O18" s="24">
        <v>20</v>
      </c>
      <c r="P18" s="25">
        <v>100</v>
      </c>
      <c r="Q18" s="26">
        <v>1.754</v>
      </c>
      <c r="R18" s="31">
        <f t="shared" si="0"/>
        <v>0</v>
      </c>
      <c r="S18" s="31">
        <f t="shared" si="1"/>
        <v>5</v>
      </c>
    </row>
    <row r="19" spans="1:19" x14ac:dyDescent="0.25">
      <c r="A19" s="10">
        <v>10</v>
      </c>
      <c r="B19" s="10">
        <v>12</v>
      </c>
      <c r="C19" s="10">
        <v>50</v>
      </c>
      <c r="D19" s="11">
        <v>1</v>
      </c>
      <c r="E19" s="10">
        <v>1</v>
      </c>
      <c r="F19" s="10">
        <v>5</v>
      </c>
      <c r="G19" s="12">
        <v>24</v>
      </c>
      <c r="H19" s="13">
        <v>0.5</v>
      </c>
      <c r="I19" s="12">
        <v>24</v>
      </c>
      <c r="J19" s="14">
        <v>100</v>
      </c>
      <c r="K19" s="28">
        <v>3.1E-2</v>
      </c>
      <c r="L19" s="12">
        <v>24</v>
      </c>
      <c r="M19" s="14">
        <v>100</v>
      </c>
      <c r="N19" s="13">
        <v>69.516000000000005</v>
      </c>
      <c r="O19" s="12">
        <v>24</v>
      </c>
      <c r="P19" s="14">
        <v>100</v>
      </c>
      <c r="Q19" s="13">
        <v>1.8480000000000001</v>
      </c>
      <c r="R19" s="31">
        <f t="shared" si="0"/>
        <v>0</v>
      </c>
      <c r="S19" s="31">
        <f t="shared" si="1"/>
        <v>0</v>
      </c>
    </row>
    <row r="20" spans="1:19" x14ac:dyDescent="0.25">
      <c r="A20" s="15">
        <v>10</v>
      </c>
      <c r="B20" s="15">
        <v>12</v>
      </c>
      <c r="C20" s="15">
        <v>50</v>
      </c>
      <c r="D20" s="16">
        <v>2</v>
      </c>
      <c r="E20" s="15">
        <v>1</v>
      </c>
      <c r="F20" s="15">
        <v>2</v>
      </c>
      <c r="G20" s="17">
        <v>39</v>
      </c>
      <c r="H20" s="18">
        <v>0.8</v>
      </c>
      <c r="I20" s="19">
        <v>37</v>
      </c>
      <c r="J20" s="20">
        <v>94.872</v>
      </c>
      <c r="K20" s="29">
        <v>5.8999999999999997E-2</v>
      </c>
      <c r="L20" s="21">
        <v>37</v>
      </c>
      <c r="M20" s="22">
        <v>94.872</v>
      </c>
      <c r="N20" s="23">
        <v>129.19900000000001</v>
      </c>
      <c r="O20" s="24">
        <v>39</v>
      </c>
      <c r="P20" s="25">
        <v>100</v>
      </c>
      <c r="Q20" s="26">
        <v>2.532</v>
      </c>
      <c r="R20" s="31">
        <f t="shared" si="0"/>
        <v>0</v>
      </c>
      <c r="S20" s="31">
        <f t="shared" si="1"/>
        <v>5.1280000000000001</v>
      </c>
    </row>
    <row r="21" spans="1:19" x14ac:dyDescent="0.25">
      <c r="A21" s="10">
        <v>25</v>
      </c>
      <c r="B21" s="10">
        <v>30</v>
      </c>
      <c r="C21" s="10">
        <v>10</v>
      </c>
      <c r="D21" s="11">
        <v>0.5</v>
      </c>
      <c r="E21" s="10">
        <v>3</v>
      </c>
      <c r="F21" s="10">
        <v>2</v>
      </c>
      <c r="G21" s="12">
        <v>8</v>
      </c>
      <c r="H21" s="13">
        <v>0.08</v>
      </c>
      <c r="I21" s="12">
        <v>7</v>
      </c>
      <c r="J21" s="14">
        <v>87.5</v>
      </c>
      <c r="K21" s="28">
        <v>3.0000000000000001E-3</v>
      </c>
      <c r="L21" s="12">
        <v>8</v>
      </c>
      <c r="M21" s="14">
        <v>100</v>
      </c>
      <c r="N21" s="13">
        <v>7.3520000000000003</v>
      </c>
      <c r="O21" s="12">
        <v>8</v>
      </c>
      <c r="P21" s="14">
        <v>100</v>
      </c>
      <c r="Q21" s="13">
        <v>2.8450000000000002</v>
      </c>
      <c r="R21" s="31">
        <f t="shared" si="0"/>
        <v>12.5</v>
      </c>
      <c r="S21" s="31">
        <f t="shared" si="1"/>
        <v>12.5</v>
      </c>
    </row>
    <row r="22" spans="1:19" x14ac:dyDescent="0.25">
      <c r="A22" s="15">
        <v>25</v>
      </c>
      <c r="B22" s="15">
        <v>30</v>
      </c>
      <c r="C22" s="15">
        <v>10</v>
      </c>
      <c r="D22" s="16">
        <v>1</v>
      </c>
      <c r="E22" s="15">
        <v>3</v>
      </c>
      <c r="F22" s="15">
        <v>1</v>
      </c>
      <c r="G22" s="17">
        <v>6</v>
      </c>
      <c r="H22" s="18">
        <v>0.06</v>
      </c>
      <c r="I22" s="19">
        <v>6</v>
      </c>
      <c r="J22" s="20">
        <v>100</v>
      </c>
      <c r="K22" s="29">
        <v>4.0000000000000001E-3</v>
      </c>
      <c r="L22" s="21">
        <v>6</v>
      </c>
      <c r="M22" s="22">
        <v>100</v>
      </c>
      <c r="N22" s="23">
        <v>6.5750000000000002</v>
      </c>
      <c r="O22" s="24">
        <v>6</v>
      </c>
      <c r="P22" s="25">
        <v>100</v>
      </c>
      <c r="Q22" s="26">
        <v>2.3050000000000002</v>
      </c>
      <c r="R22" s="31">
        <f t="shared" si="0"/>
        <v>0</v>
      </c>
      <c r="S22" s="31">
        <f t="shared" si="1"/>
        <v>0</v>
      </c>
    </row>
    <row r="23" spans="1:19" x14ac:dyDescent="0.25">
      <c r="A23" s="10">
        <v>25</v>
      </c>
      <c r="B23" s="10">
        <v>30</v>
      </c>
      <c r="C23" s="10">
        <v>10</v>
      </c>
      <c r="D23" s="11">
        <v>2</v>
      </c>
      <c r="E23" s="10">
        <v>1</v>
      </c>
      <c r="F23" s="10">
        <v>1</v>
      </c>
      <c r="G23" s="12">
        <v>3</v>
      </c>
      <c r="H23" s="13">
        <v>0.08</v>
      </c>
      <c r="I23" s="12">
        <v>3</v>
      </c>
      <c r="J23" s="14">
        <v>100</v>
      </c>
      <c r="K23" s="28">
        <v>3.0000000000000001E-3</v>
      </c>
      <c r="L23" s="12">
        <v>3</v>
      </c>
      <c r="M23" s="14">
        <v>100</v>
      </c>
      <c r="N23" s="13">
        <v>8.4939999999999998</v>
      </c>
      <c r="O23" s="12">
        <v>3</v>
      </c>
      <c r="P23" s="14">
        <v>100</v>
      </c>
      <c r="Q23" s="13">
        <v>0.629</v>
      </c>
      <c r="R23" s="31">
        <f t="shared" si="0"/>
        <v>0</v>
      </c>
      <c r="S23" s="31">
        <f t="shared" si="1"/>
        <v>0</v>
      </c>
    </row>
    <row r="24" spans="1:19" x14ac:dyDescent="0.25">
      <c r="A24" s="15">
        <v>25</v>
      </c>
      <c r="B24" s="15">
        <v>30</v>
      </c>
      <c r="C24" s="15">
        <v>10</v>
      </c>
      <c r="D24" s="16">
        <v>3</v>
      </c>
      <c r="E24" s="15">
        <v>2</v>
      </c>
      <c r="F24" s="15">
        <v>1</v>
      </c>
      <c r="G24" s="17">
        <v>8</v>
      </c>
      <c r="H24" s="18">
        <v>0.09</v>
      </c>
      <c r="I24" s="19">
        <v>8</v>
      </c>
      <c r="J24" s="20">
        <v>100</v>
      </c>
      <c r="K24" s="29">
        <v>3.0000000000000001E-3</v>
      </c>
      <c r="L24" s="21">
        <v>8</v>
      </c>
      <c r="M24" s="22">
        <v>100</v>
      </c>
      <c r="N24" s="23">
        <v>12.423</v>
      </c>
      <c r="O24" s="24">
        <v>8</v>
      </c>
      <c r="P24" s="25">
        <v>100</v>
      </c>
      <c r="Q24" s="26">
        <v>1.8660000000000001</v>
      </c>
      <c r="R24" s="31">
        <f t="shared" si="0"/>
        <v>0</v>
      </c>
      <c r="S24" s="31">
        <f t="shared" si="1"/>
        <v>0</v>
      </c>
    </row>
    <row r="25" spans="1:19" x14ac:dyDescent="0.25">
      <c r="A25" s="10">
        <v>25</v>
      </c>
      <c r="B25" s="10">
        <v>30</v>
      </c>
      <c r="C25" s="10">
        <v>25</v>
      </c>
      <c r="D25" s="11">
        <v>0.5</v>
      </c>
      <c r="E25" s="10">
        <v>6</v>
      </c>
      <c r="F25" s="10">
        <v>1</v>
      </c>
      <c r="G25" s="12">
        <v>15</v>
      </c>
      <c r="H25" s="13">
        <v>0.12</v>
      </c>
      <c r="I25" s="12">
        <v>15</v>
      </c>
      <c r="J25" s="14">
        <v>100</v>
      </c>
      <c r="K25" s="28">
        <v>1.0999999999999999E-2</v>
      </c>
      <c r="L25" s="12">
        <v>15</v>
      </c>
      <c r="M25" s="14">
        <v>100</v>
      </c>
      <c r="N25" s="13">
        <v>13.634</v>
      </c>
      <c r="O25" s="12">
        <v>15</v>
      </c>
      <c r="P25" s="14">
        <v>100</v>
      </c>
      <c r="Q25" s="13">
        <v>8.5169999999999995</v>
      </c>
      <c r="R25" s="31">
        <f t="shared" si="0"/>
        <v>0</v>
      </c>
      <c r="S25" s="31">
        <f t="shared" si="1"/>
        <v>0</v>
      </c>
    </row>
    <row r="26" spans="1:19" x14ac:dyDescent="0.25">
      <c r="A26" s="15">
        <v>25</v>
      </c>
      <c r="B26" s="15">
        <v>30</v>
      </c>
      <c r="C26" s="15">
        <v>25</v>
      </c>
      <c r="D26" s="16">
        <v>1</v>
      </c>
      <c r="E26" s="15">
        <v>5</v>
      </c>
      <c r="F26" s="15">
        <v>1</v>
      </c>
      <c r="G26" s="17">
        <v>16</v>
      </c>
      <c r="H26" s="18">
        <v>0.17</v>
      </c>
      <c r="I26" s="19">
        <v>15</v>
      </c>
      <c r="J26" s="20">
        <v>93.75</v>
      </c>
      <c r="K26" s="29">
        <v>0.01</v>
      </c>
      <c r="L26" s="21">
        <v>16</v>
      </c>
      <c r="M26" s="22">
        <v>100</v>
      </c>
      <c r="N26" s="23">
        <v>15.842000000000001</v>
      </c>
      <c r="O26" s="24">
        <v>16</v>
      </c>
      <c r="P26" s="25">
        <v>100</v>
      </c>
      <c r="Q26" s="26">
        <v>7.8250000000000002</v>
      </c>
      <c r="R26" s="31">
        <f t="shared" si="0"/>
        <v>6.25</v>
      </c>
      <c r="S26" s="31">
        <f t="shared" si="1"/>
        <v>6.25</v>
      </c>
    </row>
    <row r="27" spans="1:19" x14ac:dyDescent="0.25">
      <c r="A27" s="10">
        <v>25</v>
      </c>
      <c r="B27" s="10">
        <v>30</v>
      </c>
      <c r="C27" s="10">
        <v>25</v>
      </c>
      <c r="D27" s="11">
        <v>2</v>
      </c>
      <c r="E27" s="10">
        <v>3</v>
      </c>
      <c r="F27" s="10">
        <v>1</v>
      </c>
      <c r="G27" s="12">
        <v>15</v>
      </c>
      <c r="H27" s="13">
        <v>0.19</v>
      </c>
      <c r="I27" s="12">
        <v>14</v>
      </c>
      <c r="J27" s="14">
        <v>93.332999999999998</v>
      </c>
      <c r="K27" s="28">
        <v>8.9999999999999993E-3</v>
      </c>
      <c r="L27" s="12">
        <v>15</v>
      </c>
      <c r="M27" s="14">
        <v>100</v>
      </c>
      <c r="N27" s="13">
        <v>21.026</v>
      </c>
      <c r="O27" s="12">
        <v>15</v>
      </c>
      <c r="P27" s="14">
        <v>100</v>
      </c>
      <c r="Q27" s="13">
        <v>4.0529999999999999</v>
      </c>
      <c r="R27" s="31">
        <f t="shared" si="0"/>
        <v>6.6670000000000016</v>
      </c>
      <c r="S27" s="31">
        <f t="shared" si="1"/>
        <v>6.6670000000000016</v>
      </c>
    </row>
    <row r="28" spans="1:19" x14ac:dyDescent="0.25">
      <c r="A28" s="15">
        <v>25</v>
      </c>
      <c r="B28" s="15">
        <v>30</v>
      </c>
      <c r="C28" s="15">
        <v>25</v>
      </c>
      <c r="D28" s="16">
        <v>3</v>
      </c>
      <c r="E28" s="15">
        <v>1</v>
      </c>
      <c r="F28" s="15">
        <v>5</v>
      </c>
      <c r="G28" s="17">
        <v>15</v>
      </c>
      <c r="H28" s="18">
        <v>0.21</v>
      </c>
      <c r="I28" s="19">
        <v>15</v>
      </c>
      <c r="J28" s="20">
        <v>100</v>
      </c>
      <c r="K28" s="29">
        <v>1.2E-2</v>
      </c>
      <c r="L28" s="21">
        <v>15</v>
      </c>
      <c r="M28" s="22">
        <v>100</v>
      </c>
      <c r="N28" s="23">
        <v>33.002000000000002</v>
      </c>
      <c r="O28" s="24">
        <v>15</v>
      </c>
      <c r="P28" s="25">
        <v>100</v>
      </c>
      <c r="Q28" s="26">
        <v>1.3560000000000001</v>
      </c>
      <c r="R28" s="31">
        <f t="shared" si="0"/>
        <v>0</v>
      </c>
      <c r="S28" s="31">
        <f t="shared" si="1"/>
        <v>0</v>
      </c>
    </row>
    <row r="29" spans="1:19" x14ac:dyDescent="0.25">
      <c r="A29" s="10">
        <v>25</v>
      </c>
      <c r="B29" s="10">
        <v>30</v>
      </c>
      <c r="C29" s="10">
        <v>50</v>
      </c>
      <c r="D29" s="11">
        <v>0.5</v>
      </c>
      <c r="E29" s="10">
        <v>3</v>
      </c>
      <c r="F29" s="10">
        <v>6</v>
      </c>
      <c r="G29" s="12">
        <v>25</v>
      </c>
      <c r="H29" s="13">
        <v>0.26</v>
      </c>
      <c r="I29" s="12">
        <v>23</v>
      </c>
      <c r="J29" s="14">
        <v>92</v>
      </c>
      <c r="K29" s="28">
        <v>2.7E-2</v>
      </c>
      <c r="L29" s="12">
        <v>25</v>
      </c>
      <c r="M29" s="14">
        <v>100</v>
      </c>
      <c r="N29" s="13">
        <v>24.667999999999999</v>
      </c>
      <c r="O29" s="12">
        <v>25</v>
      </c>
      <c r="P29" s="14">
        <v>100</v>
      </c>
      <c r="Q29" s="13">
        <v>4.2809999999999997</v>
      </c>
      <c r="R29" s="31">
        <f t="shared" si="0"/>
        <v>8</v>
      </c>
      <c r="S29" s="31">
        <f t="shared" si="1"/>
        <v>8</v>
      </c>
    </row>
    <row r="30" spans="1:19" x14ac:dyDescent="0.25">
      <c r="A30" s="15">
        <v>25</v>
      </c>
      <c r="B30" s="15">
        <v>30</v>
      </c>
      <c r="C30" s="15">
        <v>50</v>
      </c>
      <c r="D30" s="16">
        <v>1</v>
      </c>
      <c r="E30" s="15">
        <v>3</v>
      </c>
      <c r="F30" s="15">
        <v>5</v>
      </c>
      <c r="G30" s="17">
        <v>32</v>
      </c>
      <c r="H30" s="18">
        <v>0.28999999999999998</v>
      </c>
      <c r="I30" s="19">
        <v>32</v>
      </c>
      <c r="J30" s="20">
        <v>100</v>
      </c>
      <c r="K30" s="29">
        <v>2.3E-2</v>
      </c>
      <c r="L30" s="21">
        <v>32</v>
      </c>
      <c r="M30" s="22">
        <v>100</v>
      </c>
      <c r="N30" s="23">
        <v>29.608000000000001</v>
      </c>
      <c r="O30" s="24">
        <v>32</v>
      </c>
      <c r="P30" s="25">
        <v>100</v>
      </c>
      <c r="Q30" s="26">
        <v>4.6529999999999996</v>
      </c>
      <c r="R30" s="31">
        <f t="shared" si="0"/>
        <v>0</v>
      </c>
      <c r="S30" s="31">
        <f t="shared" si="1"/>
        <v>0</v>
      </c>
    </row>
    <row r="31" spans="1:19" x14ac:dyDescent="0.25">
      <c r="A31" s="10">
        <v>25</v>
      </c>
      <c r="B31" s="10">
        <v>30</v>
      </c>
      <c r="C31" s="10">
        <v>50</v>
      </c>
      <c r="D31" s="11">
        <v>2</v>
      </c>
      <c r="E31" s="10">
        <v>2</v>
      </c>
      <c r="F31" s="10">
        <v>3</v>
      </c>
      <c r="G31" s="12">
        <v>32</v>
      </c>
      <c r="H31" s="13">
        <v>0.42</v>
      </c>
      <c r="I31" s="12">
        <v>31</v>
      </c>
      <c r="J31" s="14">
        <v>96.875</v>
      </c>
      <c r="K31" s="28">
        <v>2.5000000000000001E-2</v>
      </c>
      <c r="L31" s="12">
        <v>31</v>
      </c>
      <c r="M31" s="14">
        <v>96.875</v>
      </c>
      <c r="N31" s="13">
        <v>44.424999999999997</v>
      </c>
      <c r="O31" s="12">
        <v>32</v>
      </c>
      <c r="P31" s="14">
        <v>100</v>
      </c>
      <c r="Q31" s="13">
        <v>5.944</v>
      </c>
      <c r="R31" s="31">
        <f t="shared" si="0"/>
        <v>0</v>
      </c>
      <c r="S31" s="31">
        <f t="shared" si="1"/>
        <v>3.125</v>
      </c>
    </row>
    <row r="32" spans="1:19" x14ac:dyDescent="0.25">
      <c r="A32" s="15">
        <v>25</v>
      </c>
      <c r="B32" s="15">
        <v>30</v>
      </c>
      <c r="C32" s="15">
        <v>50</v>
      </c>
      <c r="D32" s="16">
        <v>3</v>
      </c>
      <c r="E32" s="15">
        <v>1</v>
      </c>
      <c r="F32" s="15">
        <v>5</v>
      </c>
      <c r="G32" s="17">
        <v>26</v>
      </c>
      <c r="H32" s="18">
        <v>0.49</v>
      </c>
      <c r="I32" s="19">
        <v>26</v>
      </c>
      <c r="J32" s="20">
        <v>100</v>
      </c>
      <c r="K32" s="29">
        <v>2.9000000000000001E-2</v>
      </c>
      <c r="L32" s="21">
        <v>26</v>
      </c>
      <c r="M32" s="22">
        <v>100</v>
      </c>
      <c r="N32" s="23">
        <v>71.816999999999993</v>
      </c>
      <c r="O32" s="24">
        <v>26</v>
      </c>
      <c r="P32" s="25">
        <v>100</v>
      </c>
      <c r="Q32" s="26">
        <v>1.837</v>
      </c>
      <c r="R32" s="31">
        <f t="shared" si="0"/>
        <v>0</v>
      </c>
      <c r="S32" s="31">
        <f t="shared" si="1"/>
        <v>0</v>
      </c>
    </row>
    <row r="33" spans="1:19" x14ac:dyDescent="0.25">
      <c r="A33" s="10">
        <v>25</v>
      </c>
      <c r="B33" s="10">
        <v>30</v>
      </c>
      <c r="C33" s="10">
        <v>100</v>
      </c>
      <c r="D33" s="11">
        <v>0.5</v>
      </c>
      <c r="E33" s="10">
        <v>4</v>
      </c>
      <c r="F33" s="10">
        <v>7</v>
      </c>
      <c r="G33" s="12">
        <v>56</v>
      </c>
      <c r="H33" s="13">
        <v>0.8</v>
      </c>
      <c r="I33" s="12">
        <v>52</v>
      </c>
      <c r="J33" s="14">
        <v>92.856999999999999</v>
      </c>
      <c r="K33" s="28">
        <v>7.1999999999999995E-2</v>
      </c>
      <c r="L33" s="12">
        <v>53</v>
      </c>
      <c r="M33" s="14">
        <v>94.643000000000001</v>
      </c>
      <c r="N33" s="13">
        <v>49.002000000000002</v>
      </c>
      <c r="O33" s="12">
        <v>56</v>
      </c>
      <c r="P33" s="14">
        <v>100</v>
      </c>
      <c r="Q33" s="13">
        <v>10.507</v>
      </c>
      <c r="R33" s="31">
        <f t="shared" si="0"/>
        <v>1.7860000000000014</v>
      </c>
      <c r="S33" s="31">
        <f t="shared" si="1"/>
        <v>7.1430000000000007</v>
      </c>
    </row>
    <row r="34" spans="1:19" x14ac:dyDescent="0.25">
      <c r="A34" s="15">
        <v>25</v>
      </c>
      <c r="B34" s="15">
        <v>30</v>
      </c>
      <c r="C34" s="15">
        <v>100</v>
      </c>
      <c r="D34" s="16">
        <v>1</v>
      </c>
      <c r="E34" s="15">
        <v>2</v>
      </c>
      <c r="F34" s="15">
        <v>9</v>
      </c>
      <c r="G34" s="17">
        <v>39</v>
      </c>
      <c r="H34" s="18">
        <v>0.48</v>
      </c>
      <c r="I34" s="19">
        <v>39</v>
      </c>
      <c r="J34" s="20">
        <v>100</v>
      </c>
      <c r="K34" s="29">
        <v>6.8000000000000005E-2</v>
      </c>
      <c r="L34" s="21">
        <v>39</v>
      </c>
      <c r="M34" s="22">
        <v>100</v>
      </c>
      <c r="N34" s="23">
        <v>59.469000000000001</v>
      </c>
      <c r="O34" s="24">
        <v>39</v>
      </c>
      <c r="P34" s="25">
        <v>100</v>
      </c>
      <c r="Q34" s="26">
        <v>3.677</v>
      </c>
      <c r="R34" s="31">
        <f t="shared" si="0"/>
        <v>0</v>
      </c>
      <c r="S34" s="31">
        <f t="shared" si="1"/>
        <v>0</v>
      </c>
    </row>
    <row r="35" spans="1:19" x14ac:dyDescent="0.25">
      <c r="A35" s="10">
        <v>25</v>
      </c>
      <c r="B35" s="10">
        <v>30</v>
      </c>
      <c r="C35" s="10">
        <v>100</v>
      </c>
      <c r="D35" s="11">
        <v>2</v>
      </c>
      <c r="E35" s="10">
        <v>2</v>
      </c>
      <c r="F35" s="10">
        <v>4</v>
      </c>
      <c r="G35" s="12">
        <v>61</v>
      </c>
      <c r="H35" s="13">
        <v>0.96</v>
      </c>
      <c r="I35" s="12">
        <v>57</v>
      </c>
      <c r="J35" s="14">
        <v>93.442999999999998</v>
      </c>
      <c r="K35" s="28">
        <v>9.7000000000000003E-2</v>
      </c>
      <c r="L35" s="12">
        <v>60</v>
      </c>
      <c r="M35" s="14">
        <v>98.361000000000004</v>
      </c>
      <c r="N35" s="13">
        <v>93.111999999999995</v>
      </c>
      <c r="O35" s="12">
        <v>56</v>
      </c>
      <c r="P35" s="14">
        <v>91.802999999999997</v>
      </c>
      <c r="Q35" s="13">
        <v>6.0990000000000002</v>
      </c>
      <c r="R35" s="31">
        <f t="shared" si="0"/>
        <v>4.9180000000000064</v>
      </c>
      <c r="S35" s="31">
        <f t="shared" si="1"/>
        <v>-1.6400000000000006</v>
      </c>
    </row>
    <row r="36" spans="1:19" x14ac:dyDescent="0.25">
      <c r="A36" s="15">
        <v>25</v>
      </c>
      <c r="B36" s="15">
        <v>30</v>
      </c>
      <c r="C36" s="15">
        <v>100</v>
      </c>
      <c r="D36" s="16">
        <v>3</v>
      </c>
      <c r="E36" s="15">
        <v>1</v>
      </c>
      <c r="F36" s="15">
        <v>3</v>
      </c>
      <c r="G36" s="17">
        <v>40</v>
      </c>
      <c r="H36" s="18">
        <v>1.1399999999999999</v>
      </c>
      <c r="I36" s="19">
        <v>40</v>
      </c>
      <c r="J36" s="20">
        <v>100</v>
      </c>
      <c r="K36" s="29">
        <v>0.123</v>
      </c>
      <c r="L36" s="21">
        <v>40</v>
      </c>
      <c r="M36" s="22">
        <v>100</v>
      </c>
      <c r="N36" s="23">
        <v>137.10499999999999</v>
      </c>
      <c r="O36" s="24">
        <v>40</v>
      </c>
      <c r="P36" s="25">
        <v>100</v>
      </c>
      <c r="Q36" s="26">
        <v>3.28</v>
      </c>
      <c r="R36" s="31">
        <f t="shared" si="0"/>
        <v>0</v>
      </c>
      <c r="S36" s="31">
        <f t="shared" si="1"/>
        <v>0</v>
      </c>
    </row>
    <row r="37" spans="1:19" x14ac:dyDescent="0.25">
      <c r="A37" s="10">
        <v>25</v>
      </c>
      <c r="B37" s="10">
        <v>30</v>
      </c>
      <c r="C37" s="10">
        <v>200</v>
      </c>
      <c r="D37" s="11">
        <v>0.5</v>
      </c>
      <c r="E37" s="10">
        <v>4</v>
      </c>
      <c r="F37" s="10">
        <v>12</v>
      </c>
      <c r="G37" s="12">
        <v>110</v>
      </c>
      <c r="H37" s="13">
        <v>5.38</v>
      </c>
      <c r="I37" s="12">
        <v>104</v>
      </c>
      <c r="J37" s="14">
        <v>94.545000000000002</v>
      </c>
      <c r="K37" s="28">
        <v>0.23899999999999999</v>
      </c>
      <c r="L37" s="12">
        <v>110</v>
      </c>
      <c r="M37" s="14">
        <v>100</v>
      </c>
      <c r="N37" s="13">
        <v>104.52200000000001</v>
      </c>
      <c r="O37" s="12">
        <v>110</v>
      </c>
      <c r="P37" s="14">
        <v>100</v>
      </c>
      <c r="Q37" s="13">
        <v>17.677</v>
      </c>
      <c r="R37" s="31">
        <f t="shared" si="0"/>
        <v>5.4549999999999983</v>
      </c>
      <c r="S37" s="31">
        <f t="shared" si="1"/>
        <v>5.4549999999999983</v>
      </c>
    </row>
    <row r="38" spans="1:19" x14ac:dyDescent="0.25">
      <c r="A38" s="15">
        <v>25</v>
      </c>
      <c r="B38" s="15">
        <v>30</v>
      </c>
      <c r="C38" s="15">
        <v>200</v>
      </c>
      <c r="D38" s="16">
        <v>1</v>
      </c>
      <c r="E38" s="15">
        <v>2</v>
      </c>
      <c r="F38" s="15">
        <v>12</v>
      </c>
      <c r="G38" s="17">
        <v>77</v>
      </c>
      <c r="H38" s="18">
        <v>1.45</v>
      </c>
      <c r="I38" s="19">
        <v>77</v>
      </c>
      <c r="J38" s="20">
        <v>100</v>
      </c>
      <c r="K38" s="29">
        <v>0.28499999999999998</v>
      </c>
      <c r="L38" s="21">
        <v>77</v>
      </c>
      <c r="M38" s="22">
        <v>100</v>
      </c>
      <c r="N38" s="23">
        <v>151.52799999999999</v>
      </c>
      <c r="O38" s="24">
        <v>77</v>
      </c>
      <c r="P38" s="25">
        <v>100</v>
      </c>
      <c r="Q38" s="26">
        <v>9.8529999999999998</v>
      </c>
      <c r="R38" s="31">
        <f t="shared" si="0"/>
        <v>0</v>
      </c>
      <c r="S38" s="31">
        <f t="shared" si="1"/>
        <v>0</v>
      </c>
    </row>
    <row r="39" spans="1:19" x14ac:dyDescent="0.25">
      <c r="A39" s="10">
        <v>25</v>
      </c>
      <c r="B39" s="10">
        <v>30</v>
      </c>
      <c r="C39" s="10">
        <v>200</v>
      </c>
      <c r="D39" s="11">
        <v>2</v>
      </c>
      <c r="E39" s="10">
        <v>2</v>
      </c>
      <c r="F39" s="10">
        <v>10</v>
      </c>
      <c r="G39" s="12">
        <v>107</v>
      </c>
      <c r="H39" s="13">
        <v>1.9</v>
      </c>
      <c r="I39" s="12">
        <v>105</v>
      </c>
      <c r="J39" s="14">
        <v>98.131</v>
      </c>
      <c r="K39" s="28">
        <v>0.38700000000000001</v>
      </c>
      <c r="L39" s="12">
        <v>107</v>
      </c>
      <c r="M39" s="14">
        <v>100</v>
      </c>
      <c r="N39" s="13">
        <v>214.75800000000001</v>
      </c>
      <c r="O39" s="12">
        <v>107</v>
      </c>
      <c r="P39" s="14">
        <v>100</v>
      </c>
      <c r="Q39" s="13">
        <v>8.202</v>
      </c>
      <c r="R39" s="31">
        <f t="shared" si="0"/>
        <v>1.8689999999999998</v>
      </c>
      <c r="S39" s="31">
        <f t="shared" si="1"/>
        <v>1.8689999999999998</v>
      </c>
    </row>
    <row r="40" spans="1:19" x14ac:dyDescent="0.25">
      <c r="A40" s="15">
        <v>25</v>
      </c>
      <c r="B40" s="15">
        <v>30</v>
      </c>
      <c r="C40" s="15">
        <v>200</v>
      </c>
      <c r="D40" s="16">
        <v>3</v>
      </c>
      <c r="E40" s="15">
        <v>1</v>
      </c>
      <c r="F40" s="15">
        <v>5</v>
      </c>
      <c r="G40" s="17">
        <v>96</v>
      </c>
      <c r="H40" s="18">
        <v>3.48</v>
      </c>
      <c r="I40" s="19">
        <v>95</v>
      </c>
      <c r="J40" s="20">
        <v>98.957999999999998</v>
      </c>
      <c r="K40" s="29">
        <v>0.746</v>
      </c>
      <c r="L40" s="21">
        <v>95</v>
      </c>
      <c r="M40" s="22">
        <v>98.957999999999998</v>
      </c>
      <c r="N40" s="23">
        <v>347.96100000000001</v>
      </c>
      <c r="O40" s="24">
        <v>94</v>
      </c>
      <c r="P40" s="25">
        <v>97.917000000000002</v>
      </c>
      <c r="Q40" s="26">
        <v>6.5430000000000001</v>
      </c>
      <c r="R40" s="31">
        <f t="shared" si="0"/>
        <v>0</v>
      </c>
      <c r="S40" s="31">
        <f t="shared" si="1"/>
        <v>-1.0409999999999968</v>
      </c>
    </row>
    <row r="41" spans="1:19" x14ac:dyDescent="0.25">
      <c r="A41" s="10">
        <v>25</v>
      </c>
      <c r="B41" s="10">
        <v>30</v>
      </c>
      <c r="C41" s="10">
        <v>300</v>
      </c>
      <c r="D41" s="11">
        <v>0.5</v>
      </c>
      <c r="E41" s="10">
        <v>3</v>
      </c>
      <c r="F41" s="10">
        <v>20</v>
      </c>
      <c r="G41" s="12">
        <v>116</v>
      </c>
      <c r="H41" s="13">
        <v>1.94</v>
      </c>
      <c r="I41" s="12">
        <v>114</v>
      </c>
      <c r="J41" s="14">
        <v>98.275999999999996</v>
      </c>
      <c r="K41" s="28">
        <v>0.44</v>
      </c>
      <c r="L41" s="12">
        <v>116</v>
      </c>
      <c r="M41" s="14">
        <v>100</v>
      </c>
      <c r="N41" s="13">
        <v>174.91800000000001</v>
      </c>
      <c r="O41" s="12">
        <v>116</v>
      </c>
      <c r="P41" s="14">
        <v>100</v>
      </c>
      <c r="Q41" s="13">
        <v>11.955</v>
      </c>
      <c r="R41" s="31">
        <f t="shared" si="0"/>
        <v>1.7240000000000038</v>
      </c>
      <c r="S41" s="31">
        <f t="shared" si="1"/>
        <v>1.7240000000000038</v>
      </c>
    </row>
    <row r="42" spans="1:19" x14ac:dyDescent="0.25">
      <c r="A42" s="15">
        <v>25</v>
      </c>
      <c r="B42" s="15">
        <v>30</v>
      </c>
      <c r="C42" s="15">
        <v>300</v>
      </c>
      <c r="D42" s="16">
        <v>1</v>
      </c>
      <c r="E42" s="15">
        <v>2</v>
      </c>
      <c r="F42" s="15">
        <v>12</v>
      </c>
      <c r="G42" s="17">
        <v>120</v>
      </c>
      <c r="H42" s="18">
        <v>2.52</v>
      </c>
      <c r="I42" s="19">
        <v>120</v>
      </c>
      <c r="J42" s="20">
        <v>100</v>
      </c>
      <c r="K42" s="29">
        <v>0.66100000000000003</v>
      </c>
      <c r="L42" s="21">
        <v>120</v>
      </c>
      <c r="M42" s="22">
        <v>100</v>
      </c>
      <c r="N42" s="23">
        <v>249.17400000000001</v>
      </c>
      <c r="O42" s="24">
        <v>117</v>
      </c>
      <c r="P42" s="25">
        <v>97.5</v>
      </c>
      <c r="Q42" s="26">
        <v>15.331</v>
      </c>
      <c r="R42" s="31">
        <f t="shared" si="0"/>
        <v>0</v>
      </c>
      <c r="S42" s="31">
        <f t="shared" si="1"/>
        <v>-2.5</v>
      </c>
    </row>
    <row r="43" spans="1:19" x14ac:dyDescent="0.25">
      <c r="A43" s="10">
        <v>25</v>
      </c>
      <c r="B43" s="10">
        <v>30</v>
      </c>
      <c r="C43" s="10">
        <v>300</v>
      </c>
      <c r="D43" s="11">
        <v>2</v>
      </c>
      <c r="E43" s="10">
        <v>2</v>
      </c>
      <c r="F43" s="10">
        <v>6</v>
      </c>
      <c r="G43" s="12">
        <v>168</v>
      </c>
      <c r="H43" s="13">
        <v>3.6</v>
      </c>
      <c r="I43" s="12">
        <v>159</v>
      </c>
      <c r="J43" s="14">
        <v>94.643000000000001</v>
      </c>
      <c r="K43" s="28">
        <v>1.272</v>
      </c>
      <c r="L43" s="12">
        <v>164</v>
      </c>
      <c r="M43" s="14">
        <v>97.619</v>
      </c>
      <c r="N43" s="13">
        <v>351.67899999999997</v>
      </c>
      <c r="O43" s="12">
        <v>166</v>
      </c>
      <c r="P43" s="14">
        <v>98.81</v>
      </c>
      <c r="Q43" s="13">
        <v>16.381</v>
      </c>
      <c r="R43" s="31">
        <f t="shared" si="0"/>
        <v>2.9759999999999991</v>
      </c>
      <c r="S43" s="31">
        <f t="shared" si="1"/>
        <v>4.1670000000000016</v>
      </c>
    </row>
    <row r="44" spans="1:19" x14ac:dyDescent="0.25">
      <c r="A44" s="15">
        <v>25</v>
      </c>
      <c r="B44" s="15">
        <v>30</v>
      </c>
      <c r="C44" s="15">
        <v>300</v>
      </c>
      <c r="D44" s="16">
        <v>3</v>
      </c>
      <c r="E44" s="15">
        <v>1</v>
      </c>
      <c r="F44" s="15">
        <v>9</v>
      </c>
      <c r="G44" s="17">
        <v>122</v>
      </c>
      <c r="H44" s="18">
        <v>4.3499999999999996</v>
      </c>
      <c r="I44" s="19">
        <v>122</v>
      </c>
      <c r="J44" s="20">
        <v>100</v>
      </c>
      <c r="K44" s="29">
        <v>2.5649999999999999</v>
      </c>
      <c r="L44" s="21">
        <v>122</v>
      </c>
      <c r="M44" s="22">
        <v>100</v>
      </c>
      <c r="N44" s="23">
        <v>797.24099999999999</v>
      </c>
      <c r="O44" s="24">
        <v>122</v>
      </c>
      <c r="P44" s="25">
        <v>100</v>
      </c>
      <c r="Q44" s="26">
        <v>5.2350000000000003</v>
      </c>
      <c r="R44" s="31">
        <f t="shared" si="0"/>
        <v>0</v>
      </c>
      <c r="S44" s="31">
        <f t="shared" si="1"/>
        <v>0</v>
      </c>
    </row>
    <row r="45" spans="1:19" x14ac:dyDescent="0.25">
      <c r="A45" s="10">
        <v>25</v>
      </c>
      <c r="B45" s="10">
        <v>30</v>
      </c>
      <c r="C45" s="10">
        <v>400</v>
      </c>
      <c r="D45" s="11">
        <v>0.5</v>
      </c>
      <c r="E45" s="10">
        <v>3</v>
      </c>
      <c r="F45" s="10">
        <v>19</v>
      </c>
      <c r="G45" s="12">
        <v>153</v>
      </c>
      <c r="H45" s="13">
        <v>6.06</v>
      </c>
      <c r="I45" s="12">
        <v>148</v>
      </c>
      <c r="J45" s="14">
        <v>96.731999999999999</v>
      </c>
      <c r="K45" s="28">
        <v>0.85799999999999998</v>
      </c>
      <c r="L45" s="12">
        <v>153</v>
      </c>
      <c r="M45" s="14">
        <v>100</v>
      </c>
      <c r="N45" s="13">
        <v>251.393</v>
      </c>
      <c r="O45" s="12">
        <v>148</v>
      </c>
      <c r="P45" s="14">
        <v>96.731999999999999</v>
      </c>
      <c r="Q45" s="13">
        <v>18.649000000000001</v>
      </c>
      <c r="R45" s="31">
        <f t="shared" si="0"/>
        <v>3.2680000000000007</v>
      </c>
      <c r="S45" s="31">
        <f t="shared" si="1"/>
        <v>0</v>
      </c>
    </row>
    <row r="46" spans="1:19" x14ac:dyDescent="0.25">
      <c r="A46" s="15">
        <v>25</v>
      </c>
      <c r="B46" s="15">
        <v>30</v>
      </c>
      <c r="C46" s="15">
        <v>400</v>
      </c>
      <c r="D46" s="16">
        <v>1</v>
      </c>
      <c r="E46" s="15">
        <v>2</v>
      </c>
      <c r="F46" s="15">
        <v>16</v>
      </c>
      <c r="G46" s="17">
        <v>157</v>
      </c>
      <c r="H46" s="18">
        <v>3.62</v>
      </c>
      <c r="I46" s="19">
        <v>157</v>
      </c>
      <c r="J46" s="20">
        <v>100</v>
      </c>
      <c r="K46" s="29">
        <v>1.349</v>
      </c>
      <c r="L46" s="21">
        <v>157</v>
      </c>
      <c r="M46" s="22">
        <v>100</v>
      </c>
      <c r="N46" s="23">
        <v>391.69600000000003</v>
      </c>
      <c r="O46" s="24">
        <v>155</v>
      </c>
      <c r="P46" s="25">
        <v>98.725999999999999</v>
      </c>
      <c r="Q46" s="26">
        <v>17.309999999999999</v>
      </c>
      <c r="R46" s="31">
        <f t="shared" si="0"/>
        <v>0</v>
      </c>
      <c r="S46" s="31">
        <f t="shared" si="1"/>
        <v>-1.2740000000000009</v>
      </c>
    </row>
    <row r="47" spans="1:19" x14ac:dyDescent="0.25">
      <c r="A47" s="10">
        <v>25</v>
      </c>
      <c r="B47" s="10">
        <v>30</v>
      </c>
      <c r="C47" s="10">
        <v>400</v>
      </c>
      <c r="D47" s="11">
        <v>2</v>
      </c>
      <c r="E47" s="10">
        <v>2</v>
      </c>
      <c r="F47" s="10">
        <v>6</v>
      </c>
      <c r="G47" s="12">
        <v>222</v>
      </c>
      <c r="H47" s="13">
        <v>5.76</v>
      </c>
      <c r="I47" s="12">
        <v>210</v>
      </c>
      <c r="J47" s="14">
        <v>94.594999999999999</v>
      </c>
      <c r="K47" s="28">
        <v>3.08</v>
      </c>
      <c r="L47" s="12">
        <v>214</v>
      </c>
      <c r="M47" s="14">
        <v>96.396000000000001</v>
      </c>
      <c r="N47" s="13">
        <v>573.46100000000001</v>
      </c>
      <c r="O47" s="12">
        <v>213</v>
      </c>
      <c r="P47" s="14">
        <v>95.945999999999998</v>
      </c>
      <c r="Q47" s="13">
        <v>33.677999999999997</v>
      </c>
      <c r="R47" s="31">
        <f t="shared" si="0"/>
        <v>1.8010000000000019</v>
      </c>
      <c r="S47" s="31">
        <f t="shared" si="1"/>
        <v>1.3509999999999991</v>
      </c>
    </row>
    <row r="48" spans="1:19" x14ac:dyDescent="0.25">
      <c r="A48" s="15">
        <v>25</v>
      </c>
      <c r="B48" s="15">
        <v>30</v>
      </c>
      <c r="C48" s="15">
        <v>400</v>
      </c>
      <c r="D48" s="16">
        <v>3</v>
      </c>
      <c r="E48" s="15">
        <v>1</v>
      </c>
      <c r="F48" s="15">
        <v>6</v>
      </c>
      <c r="G48" s="17">
        <v>185</v>
      </c>
      <c r="H48" s="18">
        <v>6.23</v>
      </c>
      <c r="I48" s="19">
        <v>181</v>
      </c>
      <c r="J48" s="20">
        <v>97.837999999999994</v>
      </c>
      <c r="K48" s="29">
        <v>6.8860000000000001</v>
      </c>
      <c r="L48" s="21">
        <v>181</v>
      </c>
      <c r="M48" s="22">
        <v>97.837999999999994</v>
      </c>
      <c r="N48" s="23">
        <v>1389.8340000000001</v>
      </c>
      <c r="O48" s="24">
        <v>185</v>
      </c>
      <c r="P48" s="25">
        <v>100</v>
      </c>
      <c r="Q48" s="26">
        <v>23.599</v>
      </c>
      <c r="R48" s="31">
        <f t="shared" si="0"/>
        <v>0</v>
      </c>
      <c r="S48" s="31">
        <f t="shared" si="1"/>
        <v>2.1620000000000061</v>
      </c>
    </row>
    <row r="49" spans="1:19" x14ac:dyDescent="0.25">
      <c r="A49" s="10">
        <v>30</v>
      </c>
      <c r="B49" s="10">
        <v>36</v>
      </c>
      <c r="C49" s="10">
        <v>10</v>
      </c>
      <c r="D49" s="11">
        <v>0.5</v>
      </c>
      <c r="E49" s="10">
        <v>3</v>
      </c>
      <c r="F49" s="10">
        <v>1</v>
      </c>
      <c r="G49" s="12">
        <v>7</v>
      </c>
      <c r="H49" s="13">
        <v>0.05</v>
      </c>
      <c r="I49" s="12">
        <v>7</v>
      </c>
      <c r="J49" s="14">
        <v>100</v>
      </c>
      <c r="K49" s="28">
        <v>3.0000000000000001E-3</v>
      </c>
      <c r="L49" s="12">
        <v>7</v>
      </c>
      <c r="M49" s="14">
        <v>100</v>
      </c>
      <c r="N49" s="13">
        <v>6.8739999999999997</v>
      </c>
      <c r="O49" s="12">
        <v>7</v>
      </c>
      <c r="P49" s="14">
        <v>100</v>
      </c>
      <c r="Q49" s="13">
        <v>4.1509999999999998</v>
      </c>
      <c r="R49" s="31">
        <f t="shared" si="0"/>
        <v>0</v>
      </c>
      <c r="S49" s="31">
        <f t="shared" si="1"/>
        <v>0</v>
      </c>
    </row>
    <row r="50" spans="1:19" x14ac:dyDescent="0.25">
      <c r="A50" s="15">
        <v>30</v>
      </c>
      <c r="B50" s="15">
        <v>36</v>
      </c>
      <c r="C50" s="15">
        <v>10</v>
      </c>
      <c r="D50" s="16">
        <v>1</v>
      </c>
      <c r="E50" s="15">
        <v>3</v>
      </c>
      <c r="F50" s="15">
        <v>2</v>
      </c>
      <c r="G50" s="17">
        <v>8</v>
      </c>
      <c r="H50" s="18">
        <v>0.08</v>
      </c>
      <c r="I50" s="19">
        <v>7</v>
      </c>
      <c r="J50" s="20">
        <v>87.5</v>
      </c>
      <c r="K50" s="29">
        <v>3.0000000000000001E-3</v>
      </c>
      <c r="L50" s="21">
        <v>8</v>
      </c>
      <c r="M50" s="22">
        <v>100</v>
      </c>
      <c r="N50" s="23">
        <v>7.2009999999999996</v>
      </c>
      <c r="O50" s="24">
        <v>8</v>
      </c>
      <c r="P50" s="25">
        <v>100</v>
      </c>
      <c r="Q50" s="26">
        <v>4.9080000000000004</v>
      </c>
      <c r="R50" s="31">
        <f t="shared" si="0"/>
        <v>12.5</v>
      </c>
      <c r="S50" s="31">
        <f t="shared" si="1"/>
        <v>12.5</v>
      </c>
    </row>
    <row r="51" spans="1:19" x14ac:dyDescent="0.25">
      <c r="A51" s="10">
        <v>30</v>
      </c>
      <c r="B51" s="10">
        <v>36</v>
      </c>
      <c r="C51" s="10">
        <v>10</v>
      </c>
      <c r="D51" s="11">
        <v>2</v>
      </c>
      <c r="E51" s="10">
        <v>1</v>
      </c>
      <c r="F51" s="10">
        <v>2</v>
      </c>
      <c r="G51" s="12">
        <v>6</v>
      </c>
      <c r="H51" s="13">
        <v>7.0000000000000007E-2</v>
      </c>
      <c r="I51" s="12">
        <v>6</v>
      </c>
      <c r="J51" s="14">
        <v>100</v>
      </c>
      <c r="K51" s="28">
        <v>3.0000000000000001E-3</v>
      </c>
      <c r="L51" s="12">
        <v>6</v>
      </c>
      <c r="M51" s="14">
        <v>100</v>
      </c>
      <c r="N51" s="13">
        <v>10.635</v>
      </c>
      <c r="O51" s="12">
        <v>6</v>
      </c>
      <c r="P51" s="14">
        <v>100</v>
      </c>
      <c r="Q51" s="13">
        <v>0.755</v>
      </c>
      <c r="R51" s="31">
        <f t="shared" si="0"/>
        <v>0</v>
      </c>
      <c r="S51" s="31">
        <f t="shared" si="1"/>
        <v>0</v>
      </c>
    </row>
    <row r="52" spans="1:19" x14ac:dyDescent="0.25">
      <c r="A52" s="15">
        <v>30</v>
      </c>
      <c r="B52" s="15">
        <v>36</v>
      </c>
      <c r="C52" s="15">
        <v>10</v>
      </c>
      <c r="D52" s="16">
        <v>3</v>
      </c>
      <c r="E52" s="15">
        <v>1</v>
      </c>
      <c r="F52" s="15">
        <v>3</v>
      </c>
      <c r="G52" s="17">
        <v>5</v>
      </c>
      <c r="H52" s="18">
        <v>0.08</v>
      </c>
      <c r="I52" s="19">
        <v>5</v>
      </c>
      <c r="J52" s="20">
        <v>100</v>
      </c>
      <c r="K52" s="29">
        <v>3.0000000000000001E-3</v>
      </c>
      <c r="L52" s="21">
        <v>5</v>
      </c>
      <c r="M52" s="22">
        <v>100</v>
      </c>
      <c r="N52" s="23">
        <v>11.361000000000001</v>
      </c>
      <c r="O52" s="24">
        <v>5</v>
      </c>
      <c r="P52" s="25">
        <v>100</v>
      </c>
      <c r="Q52" s="26">
        <v>0.82599999999999996</v>
      </c>
      <c r="R52" s="31">
        <f t="shared" si="0"/>
        <v>0</v>
      </c>
      <c r="S52" s="31">
        <f t="shared" si="1"/>
        <v>0</v>
      </c>
    </row>
    <row r="53" spans="1:19" x14ac:dyDescent="0.25">
      <c r="A53" s="10">
        <v>30</v>
      </c>
      <c r="B53" s="10">
        <v>36</v>
      </c>
      <c r="C53" s="10">
        <v>25</v>
      </c>
      <c r="D53" s="11">
        <v>0.5</v>
      </c>
      <c r="E53" s="10">
        <v>5</v>
      </c>
      <c r="F53" s="10">
        <v>2</v>
      </c>
      <c r="G53" s="12">
        <v>16</v>
      </c>
      <c r="H53" s="13">
        <v>0.12</v>
      </c>
      <c r="I53" s="12">
        <v>16</v>
      </c>
      <c r="J53" s="14">
        <v>100</v>
      </c>
      <c r="K53" s="28">
        <v>0.01</v>
      </c>
      <c r="L53" s="12">
        <v>16</v>
      </c>
      <c r="M53" s="14">
        <v>100</v>
      </c>
      <c r="N53" s="13">
        <v>12.698</v>
      </c>
      <c r="O53" s="12">
        <v>16</v>
      </c>
      <c r="P53" s="14">
        <v>100</v>
      </c>
      <c r="Q53" s="13">
        <v>6.806</v>
      </c>
      <c r="R53" s="31">
        <f t="shared" si="0"/>
        <v>0</v>
      </c>
      <c r="S53" s="31">
        <f t="shared" si="1"/>
        <v>0</v>
      </c>
    </row>
    <row r="54" spans="1:19" x14ac:dyDescent="0.25">
      <c r="A54" s="15">
        <v>30</v>
      </c>
      <c r="B54" s="15">
        <v>36</v>
      </c>
      <c r="C54" s="15">
        <v>25</v>
      </c>
      <c r="D54" s="16">
        <v>1</v>
      </c>
      <c r="E54" s="15">
        <v>5</v>
      </c>
      <c r="F54" s="15">
        <v>1</v>
      </c>
      <c r="G54" s="17">
        <v>12</v>
      </c>
      <c r="H54" s="18">
        <v>0.13</v>
      </c>
      <c r="I54" s="19">
        <v>12</v>
      </c>
      <c r="J54" s="20">
        <v>100</v>
      </c>
      <c r="K54" s="29">
        <v>0.01</v>
      </c>
      <c r="L54" s="21">
        <v>12</v>
      </c>
      <c r="M54" s="22">
        <v>100</v>
      </c>
      <c r="N54" s="23">
        <v>14.324</v>
      </c>
      <c r="O54" s="24">
        <v>12</v>
      </c>
      <c r="P54" s="25">
        <v>100</v>
      </c>
      <c r="Q54" s="26">
        <v>5.4889999999999999</v>
      </c>
      <c r="R54" s="31">
        <f t="shared" si="0"/>
        <v>0</v>
      </c>
      <c r="S54" s="31">
        <f t="shared" si="1"/>
        <v>0</v>
      </c>
    </row>
    <row r="55" spans="1:19" x14ac:dyDescent="0.25">
      <c r="A55" s="10">
        <v>30</v>
      </c>
      <c r="B55" s="10">
        <v>36</v>
      </c>
      <c r="C55" s="10">
        <v>25</v>
      </c>
      <c r="D55" s="11">
        <v>2</v>
      </c>
      <c r="E55" s="10">
        <v>3</v>
      </c>
      <c r="F55" s="10">
        <v>2</v>
      </c>
      <c r="G55" s="12">
        <v>20</v>
      </c>
      <c r="H55" s="13">
        <v>0.19</v>
      </c>
      <c r="I55" s="12">
        <v>19</v>
      </c>
      <c r="J55" s="14">
        <v>95</v>
      </c>
      <c r="K55" s="28">
        <v>8.9999999999999993E-3</v>
      </c>
      <c r="L55" s="12">
        <v>19</v>
      </c>
      <c r="M55" s="14">
        <v>95</v>
      </c>
      <c r="N55" s="13">
        <v>19.747</v>
      </c>
      <c r="O55" s="12">
        <v>20</v>
      </c>
      <c r="P55" s="14">
        <v>100</v>
      </c>
      <c r="Q55" s="13">
        <v>5.5590000000000002</v>
      </c>
      <c r="R55" s="31">
        <f t="shared" si="0"/>
        <v>0</v>
      </c>
      <c r="S55" s="31">
        <f t="shared" si="1"/>
        <v>5</v>
      </c>
    </row>
    <row r="56" spans="1:19" x14ac:dyDescent="0.25">
      <c r="A56" s="15">
        <v>30</v>
      </c>
      <c r="B56" s="15">
        <v>36</v>
      </c>
      <c r="C56" s="15">
        <v>25</v>
      </c>
      <c r="D56" s="16">
        <v>3</v>
      </c>
      <c r="E56" s="15">
        <v>3</v>
      </c>
      <c r="F56" s="15">
        <v>1</v>
      </c>
      <c r="G56" s="17">
        <v>17</v>
      </c>
      <c r="H56" s="18">
        <v>0.17</v>
      </c>
      <c r="I56" s="19">
        <v>17</v>
      </c>
      <c r="J56" s="20">
        <v>100</v>
      </c>
      <c r="K56" s="29">
        <v>8.9999999999999993E-3</v>
      </c>
      <c r="L56" s="21">
        <v>17</v>
      </c>
      <c r="M56" s="22">
        <v>100</v>
      </c>
      <c r="N56" s="23">
        <v>23.893000000000001</v>
      </c>
      <c r="O56" s="24">
        <v>17</v>
      </c>
      <c r="P56" s="25">
        <v>100</v>
      </c>
      <c r="Q56" s="26">
        <v>4.6029999999999998</v>
      </c>
      <c r="R56" s="31">
        <f t="shared" si="0"/>
        <v>0</v>
      </c>
      <c r="S56" s="31">
        <f t="shared" si="1"/>
        <v>0</v>
      </c>
    </row>
    <row r="57" spans="1:19" x14ac:dyDescent="0.25">
      <c r="A57" s="10">
        <v>30</v>
      </c>
      <c r="B57" s="10">
        <v>36</v>
      </c>
      <c r="C57" s="10">
        <v>50</v>
      </c>
      <c r="D57" s="11">
        <v>0.5</v>
      </c>
      <c r="E57" s="10">
        <v>4</v>
      </c>
      <c r="F57" s="10">
        <v>6</v>
      </c>
      <c r="G57" s="12">
        <v>26</v>
      </c>
      <c r="H57" s="13">
        <v>0.22</v>
      </c>
      <c r="I57" s="12">
        <v>26</v>
      </c>
      <c r="J57" s="14">
        <v>100</v>
      </c>
      <c r="K57" s="28">
        <v>2.7E-2</v>
      </c>
      <c r="L57" s="12">
        <v>25</v>
      </c>
      <c r="M57" s="14">
        <v>96.153999999999996</v>
      </c>
      <c r="N57" s="13">
        <v>23.597999999999999</v>
      </c>
      <c r="O57" s="12">
        <v>26</v>
      </c>
      <c r="P57" s="14">
        <v>100</v>
      </c>
      <c r="Q57" s="13">
        <v>6.5019999999999998</v>
      </c>
      <c r="R57" s="31">
        <f t="shared" si="0"/>
        <v>-3.8460000000000036</v>
      </c>
      <c r="S57" s="31">
        <f t="shared" si="1"/>
        <v>0</v>
      </c>
    </row>
    <row r="58" spans="1:19" x14ac:dyDescent="0.25">
      <c r="A58" s="15">
        <v>30</v>
      </c>
      <c r="B58" s="15">
        <v>36</v>
      </c>
      <c r="C58" s="15">
        <v>50</v>
      </c>
      <c r="D58" s="16">
        <v>1</v>
      </c>
      <c r="E58" s="15">
        <v>2</v>
      </c>
      <c r="F58" s="15">
        <v>6</v>
      </c>
      <c r="G58" s="17">
        <v>22</v>
      </c>
      <c r="H58" s="18">
        <v>0.3</v>
      </c>
      <c r="I58" s="19">
        <v>22</v>
      </c>
      <c r="J58" s="20">
        <v>100</v>
      </c>
      <c r="K58" s="29">
        <v>2.5000000000000001E-2</v>
      </c>
      <c r="L58" s="21">
        <v>22</v>
      </c>
      <c r="M58" s="22">
        <v>100</v>
      </c>
      <c r="N58" s="23">
        <v>31.890999999999998</v>
      </c>
      <c r="O58" s="24">
        <v>22</v>
      </c>
      <c r="P58" s="25">
        <v>100</v>
      </c>
      <c r="Q58" s="26">
        <v>3.18</v>
      </c>
      <c r="R58" s="31">
        <f t="shared" si="0"/>
        <v>0</v>
      </c>
      <c r="S58" s="31">
        <f t="shared" si="1"/>
        <v>0</v>
      </c>
    </row>
    <row r="59" spans="1:19" x14ac:dyDescent="0.25">
      <c r="A59" s="10">
        <v>30</v>
      </c>
      <c r="B59" s="10">
        <v>36</v>
      </c>
      <c r="C59" s="10">
        <v>50</v>
      </c>
      <c r="D59" s="11">
        <v>2</v>
      </c>
      <c r="E59" s="10">
        <v>2</v>
      </c>
      <c r="F59" s="10">
        <v>3</v>
      </c>
      <c r="G59" s="12">
        <v>28</v>
      </c>
      <c r="H59" s="13">
        <v>0.34</v>
      </c>
      <c r="I59" s="12">
        <v>24</v>
      </c>
      <c r="J59" s="14">
        <v>85.713999999999999</v>
      </c>
      <c r="K59" s="28">
        <v>2.5000000000000001E-2</v>
      </c>
      <c r="L59" s="12">
        <v>28</v>
      </c>
      <c r="M59" s="14">
        <v>100</v>
      </c>
      <c r="N59" s="13">
        <v>37.372</v>
      </c>
      <c r="O59" s="12">
        <v>28</v>
      </c>
      <c r="P59" s="14">
        <v>100</v>
      </c>
      <c r="Q59" s="13">
        <v>4.4989999999999997</v>
      </c>
      <c r="R59" s="31">
        <f t="shared" si="0"/>
        <v>14.286000000000001</v>
      </c>
      <c r="S59" s="31">
        <f t="shared" si="1"/>
        <v>14.286000000000001</v>
      </c>
    </row>
    <row r="60" spans="1:19" x14ac:dyDescent="0.25">
      <c r="A60" s="15">
        <v>30</v>
      </c>
      <c r="B60" s="15">
        <v>36</v>
      </c>
      <c r="C60" s="15">
        <v>50</v>
      </c>
      <c r="D60" s="16">
        <v>3</v>
      </c>
      <c r="E60" s="15">
        <v>1</v>
      </c>
      <c r="F60" s="15">
        <v>4</v>
      </c>
      <c r="G60" s="17">
        <v>23</v>
      </c>
      <c r="H60" s="18">
        <v>0.48</v>
      </c>
      <c r="I60" s="19">
        <v>23</v>
      </c>
      <c r="J60" s="20">
        <v>100</v>
      </c>
      <c r="K60" s="29">
        <v>2.9000000000000001E-2</v>
      </c>
      <c r="L60" s="21">
        <v>23</v>
      </c>
      <c r="M60" s="22">
        <v>100</v>
      </c>
      <c r="N60" s="23">
        <v>58.677</v>
      </c>
      <c r="O60" s="24">
        <v>23</v>
      </c>
      <c r="P60" s="25">
        <v>100</v>
      </c>
      <c r="Q60" s="26">
        <v>2.3839999999999999</v>
      </c>
      <c r="R60" s="31">
        <f t="shared" si="0"/>
        <v>0</v>
      </c>
      <c r="S60" s="31">
        <f t="shared" si="1"/>
        <v>0</v>
      </c>
    </row>
    <row r="61" spans="1:19" x14ac:dyDescent="0.25">
      <c r="A61" s="10">
        <v>30</v>
      </c>
      <c r="B61" s="10">
        <v>36</v>
      </c>
      <c r="C61" s="10">
        <v>100</v>
      </c>
      <c r="D61" s="11">
        <v>0.5</v>
      </c>
      <c r="E61" s="10">
        <v>5</v>
      </c>
      <c r="F61" s="10">
        <v>5</v>
      </c>
      <c r="G61" s="12">
        <v>53</v>
      </c>
      <c r="H61" s="13">
        <v>0.69</v>
      </c>
      <c r="I61" s="12">
        <v>50</v>
      </c>
      <c r="J61" s="14">
        <v>94.34</v>
      </c>
      <c r="K61" s="28">
        <v>6.6000000000000003E-2</v>
      </c>
      <c r="L61" s="12">
        <v>51</v>
      </c>
      <c r="M61" s="14">
        <v>96.225999999999999</v>
      </c>
      <c r="N61" s="13">
        <v>42.094000000000001</v>
      </c>
      <c r="O61" s="12">
        <v>51</v>
      </c>
      <c r="P61" s="14">
        <v>96.225999999999999</v>
      </c>
      <c r="Q61" s="13">
        <v>9.9130000000000003</v>
      </c>
      <c r="R61" s="31">
        <f t="shared" si="0"/>
        <v>1.8859999999999957</v>
      </c>
      <c r="S61" s="31">
        <f t="shared" si="1"/>
        <v>1.8859999999999957</v>
      </c>
    </row>
    <row r="62" spans="1:19" x14ac:dyDescent="0.25">
      <c r="A62" s="15">
        <v>30</v>
      </c>
      <c r="B62" s="15">
        <v>36</v>
      </c>
      <c r="C62" s="15">
        <v>100</v>
      </c>
      <c r="D62" s="16">
        <v>1</v>
      </c>
      <c r="E62" s="15">
        <v>10</v>
      </c>
      <c r="F62" s="15">
        <v>1</v>
      </c>
      <c r="G62" s="17">
        <v>52</v>
      </c>
      <c r="H62" s="18">
        <v>0.51</v>
      </c>
      <c r="I62" s="19">
        <v>49</v>
      </c>
      <c r="J62" s="20">
        <v>94.230999999999995</v>
      </c>
      <c r="K62" s="29">
        <v>6.7000000000000004E-2</v>
      </c>
      <c r="L62" s="21">
        <v>51</v>
      </c>
      <c r="M62" s="22">
        <v>98.076999999999998</v>
      </c>
      <c r="N62" s="23">
        <v>46.238</v>
      </c>
      <c r="O62" s="24">
        <v>52</v>
      </c>
      <c r="P62" s="25">
        <v>100</v>
      </c>
      <c r="Q62" s="26">
        <v>35.936</v>
      </c>
      <c r="R62" s="31">
        <f t="shared" si="0"/>
        <v>3.8460000000000036</v>
      </c>
      <c r="S62" s="31">
        <f t="shared" si="1"/>
        <v>5.7690000000000055</v>
      </c>
    </row>
    <row r="63" spans="1:19" x14ac:dyDescent="0.25">
      <c r="A63" s="10">
        <v>30</v>
      </c>
      <c r="B63" s="10">
        <v>36</v>
      </c>
      <c r="C63" s="10">
        <v>100</v>
      </c>
      <c r="D63" s="11">
        <v>2</v>
      </c>
      <c r="E63" s="10">
        <v>2</v>
      </c>
      <c r="F63" s="10">
        <v>4</v>
      </c>
      <c r="G63" s="12">
        <v>52</v>
      </c>
      <c r="H63" s="13">
        <v>0.75</v>
      </c>
      <c r="I63" s="12">
        <v>50</v>
      </c>
      <c r="J63" s="14">
        <v>96.153999999999996</v>
      </c>
      <c r="K63" s="28">
        <v>8.2000000000000003E-2</v>
      </c>
      <c r="L63" s="12">
        <v>51</v>
      </c>
      <c r="M63" s="14">
        <v>98.076999999999998</v>
      </c>
      <c r="N63" s="13">
        <v>78.930999999999997</v>
      </c>
      <c r="O63" s="12">
        <v>50</v>
      </c>
      <c r="P63" s="14">
        <v>96.153999999999996</v>
      </c>
      <c r="Q63" s="13">
        <v>6.782</v>
      </c>
      <c r="R63" s="31">
        <f t="shared" si="0"/>
        <v>1.9230000000000018</v>
      </c>
      <c r="S63" s="31">
        <f t="shared" si="1"/>
        <v>0</v>
      </c>
    </row>
    <row r="64" spans="1:19" x14ac:dyDescent="0.25">
      <c r="A64" s="15">
        <v>30</v>
      </c>
      <c r="B64" s="15">
        <v>36</v>
      </c>
      <c r="C64" s="15">
        <v>100</v>
      </c>
      <c r="D64" s="16">
        <v>3</v>
      </c>
      <c r="E64" s="15">
        <v>1</v>
      </c>
      <c r="F64" s="15">
        <v>6</v>
      </c>
      <c r="G64" s="17">
        <v>42</v>
      </c>
      <c r="H64" s="18">
        <v>1.01</v>
      </c>
      <c r="I64" s="19">
        <v>42</v>
      </c>
      <c r="J64" s="20">
        <v>100</v>
      </c>
      <c r="K64" s="29">
        <v>0.104</v>
      </c>
      <c r="L64" s="21">
        <v>42</v>
      </c>
      <c r="M64" s="22">
        <v>100</v>
      </c>
      <c r="N64" s="23">
        <v>131.68100000000001</v>
      </c>
      <c r="O64" s="24">
        <v>42</v>
      </c>
      <c r="P64" s="25">
        <v>100</v>
      </c>
      <c r="Q64" s="26">
        <v>6.0839999999999996</v>
      </c>
      <c r="R64" s="31">
        <f t="shared" si="0"/>
        <v>0</v>
      </c>
      <c r="S64" s="31">
        <f t="shared" si="1"/>
        <v>0</v>
      </c>
    </row>
    <row r="65" spans="1:19" x14ac:dyDescent="0.25">
      <c r="A65" s="10">
        <v>30</v>
      </c>
      <c r="B65" s="10">
        <v>36</v>
      </c>
      <c r="C65" s="10">
        <v>200</v>
      </c>
      <c r="D65" s="11">
        <v>0.5</v>
      </c>
      <c r="E65" s="10">
        <v>4</v>
      </c>
      <c r="F65" s="10">
        <v>11</v>
      </c>
      <c r="G65" s="12">
        <v>93</v>
      </c>
      <c r="H65" s="13">
        <v>1.1200000000000001</v>
      </c>
      <c r="I65" s="12">
        <v>93</v>
      </c>
      <c r="J65" s="14">
        <v>100</v>
      </c>
      <c r="K65" s="28">
        <v>0.20499999999999999</v>
      </c>
      <c r="L65" s="12">
        <v>93</v>
      </c>
      <c r="M65" s="14">
        <v>100</v>
      </c>
      <c r="N65" s="13">
        <v>87.527000000000001</v>
      </c>
      <c r="O65" s="12">
        <v>93</v>
      </c>
      <c r="P65" s="14">
        <v>100</v>
      </c>
      <c r="Q65" s="13">
        <v>16.704000000000001</v>
      </c>
      <c r="R65" s="31">
        <f t="shared" si="0"/>
        <v>0</v>
      </c>
      <c r="S65" s="31">
        <f t="shared" si="1"/>
        <v>0</v>
      </c>
    </row>
    <row r="66" spans="1:19" x14ac:dyDescent="0.25">
      <c r="A66" s="15">
        <v>30</v>
      </c>
      <c r="B66" s="15">
        <v>36</v>
      </c>
      <c r="C66" s="15">
        <v>200</v>
      </c>
      <c r="D66" s="16">
        <v>1</v>
      </c>
      <c r="E66" s="15">
        <v>3</v>
      </c>
      <c r="F66" s="15">
        <v>11</v>
      </c>
      <c r="G66" s="17">
        <v>91</v>
      </c>
      <c r="H66" s="18">
        <v>3.26</v>
      </c>
      <c r="I66" s="19">
        <v>91</v>
      </c>
      <c r="J66" s="20">
        <v>100</v>
      </c>
      <c r="K66" s="29">
        <v>0.25</v>
      </c>
      <c r="L66" s="21">
        <v>91</v>
      </c>
      <c r="M66" s="22">
        <v>100</v>
      </c>
      <c r="N66" s="23">
        <v>115.71599999999999</v>
      </c>
      <c r="O66" s="24">
        <v>91</v>
      </c>
      <c r="P66" s="25">
        <v>100</v>
      </c>
      <c r="Q66" s="26">
        <v>12.16</v>
      </c>
      <c r="R66" s="31">
        <f t="shared" si="0"/>
        <v>0</v>
      </c>
      <c r="S66" s="31">
        <f t="shared" si="1"/>
        <v>0</v>
      </c>
    </row>
    <row r="67" spans="1:19" x14ac:dyDescent="0.25">
      <c r="A67" s="10">
        <v>30</v>
      </c>
      <c r="B67" s="10">
        <v>36</v>
      </c>
      <c r="C67" s="10">
        <v>200</v>
      </c>
      <c r="D67" s="11">
        <v>2</v>
      </c>
      <c r="E67" s="10">
        <v>2</v>
      </c>
      <c r="F67" s="10">
        <v>10</v>
      </c>
      <c r="G67" s="12">
        <v>102</v>
      </c>
      <c r="H67" s="13">
        <v>1.77</v>
      </c>
      <c r="I67" s="12">
        <v>100</v>
      </c>
      <c r="J67" s="14">
        <v>98.039000000000001</v>
      </c>
      <c r="K67" s="28">
        <v>0.35399999999999998</v>
      </c>
      <c r="L67" s="12">
        <v>102</v>
      </c>
      <c r="M67" s="14">
        <v>100</v>
      </c>
      <c r="N67" s="13">
        <v>189.38499999999999</v>
      </c>
      <c r="O67" s="12">
        <v>102</v>
      </c>
      <c r="P67" s="14">
        <v>100</v>
      </c>
      <c r="Q67" s="13">
        <v>10.1</v>
      </c>
      <c r="R67" s="31">
        <f t="shared" si="0"/>
        <v>1.9609999999999985</v>
      </c>
      <c r="S67" s="31">
        <f t="shared" si="1"/>
        <v>1.9609999999999985</v>
      </c>
    </row>
    <row r="68" spans="1:19" x14ac:dyDescent="0.25">
      <c r="A68" s="15">
        <v>30</v>
      </c>
      <c r="B68" s="15">
        <v>36</v>
      </c>
      <c r="C68" s="15">
        <v>200</v>
      </c>
      <c r="D68" s="16">
        <v>3</v>
      </c>
      <c r="E68" s="15">
        <v>1</v>
      </c>
      <c r="F68" s="15">
        <v>6</v>
      </c>
      <c r="G68" s="17">
        <v>79</v>
      </c>
      <c r="H68" s="18">
        <v>2.44</v>
      </c>
      <c r="I68" s="19">
        <v>78</v>
      </c>
      <c r="J68" s="20">
        <v>98.733999999999995</v>
      </c>
      <c r="K68" s="29">
        <v>0.52900000000000003</v>
      </c>
      <c r="L68" s="21">
        <v>78</v>
      </c>
      <c r="M68" s="22">
        <v>98.733999999999995</v>
      </c>
      <c r="N68" s="23">
        <v>287.85700000000003</v>
      </c>
      <c r="O68" s="24">
        <v>78</v>
      </c>
      <c r="P68" s="25">
        <v>98.733999999999995</v>
      </c>
      <c r="Q68" s="26">
        <v>7.9660000000000002</v>
      </c>
      <c r="R68" s="31">
        <f t="shared" ref="R68:R116" si="2">M68-J68</f>
        <v>0</v>
      </c>
      <c r="S68" s="31">
        <f t="shared" ref="S68:S116" si="3">P68-J68</f>
        <v>0</v>
      </c>
    </row>
    <row r="69" spans="1:19" x14ac:dyDescent="0.25">
      <c r="A69" s="10">
        <v>30</v>
      </c>
      <c r="B69" s="10">
        <v>36</v>
      </c>
      <c r="C69" s="10">
        <v>300</v>
      </c>
      <c r="D69" s="11">
        <v>0.5</v>
      </c>
      <c r="E69" s="10">
        <v>4</v>
      </c>
      <c r="F69" s="10">
        <v>14</v>
      </c>
      <c r="G69" s="12">
        <v>128</v>
      </c>
      <c r="H69" s="13">
        <v>3.66</v>
      </c>
      <c r="I69" s="12">
        <v>127</v>
      </c>
      <c r="J69" s="14">
        <v>99.218999999999994</v>
      </c>
      <c r="K69" s="28">
        <v>0.442</v>
      </c>
      <c r="L69" s="12">
        <v>127</v>
      </c>
      <c r="M69" s="14">
        <v>99.218999999999994</v>
      </c>
      <c r="N69" s="13">
        <v>143.786</v>
      </c>
      <c r="O69" s="12">
        <v>126</v>
      </c>
      <c r="P69" s="14">
        <v>98.438000000000002</v>
      </c>
      <c r="Q69" s="13">
        <v>20.091000000000001</v>
      </c>
      <c r="R69" s="31">
        <f t="shared" si="2"/>
        <v>0</v>
      </c>
      <c r="S69" s="31">
        <f t="shared" si="3"/>
        <v>-0.7809999999999917</v>
      </c>
    </row>
    <row r="70" spans="1:19" x14ac:dyDescent="0.25">
      <c r="A70" s="15">
        <v>30</v>
      </c>
      <c r="B70" s="15">
        <v>36</v>
      </c>
      <c r="C70" s="15">
        <v>300</v>
      </c>
      <c r="D70" s="16">
        <v>1</v>
      </c>
      <c r="E70" s="15">
        <v>3</v>
      </c>
      <c r="F70" s="15">
        <v>12</v>
      </c>
      <c r="G70" s="17">
        <v>130</v>
      </c>
      <c r="H70" s="18">
        <v>5.12</v>
      </c>
      <c r="I70" s="19">
        <v>123</v>
      </c>
      <c r="J70" s="20">
        <v>94.614999999999995</v>
      </c>
      <c r="K70" s="29">
        <v>0.56799999999999995</v>
      </c>
      <c r="L70" s="21">
        <v>130</v>
      </c>
      <c r="M70" s="22">
        <v>100</v>
      </c>
      <c r="N70" s="23">
        <v>187.80699999999999</v>
      </c>
      <c r="O70" s="24">
        <v>130</v>
      </c>
      <c r="P70" s="25">
        <v>100</v>
      </c>
      <c r="Q70" s="26">
        <v>19.337</v>
      </c>
      <c r="R70" s="31">
        <f t="shared" si="2"/>
        <v>5.3850000000000051</v>
      </c>
      <c r="S70" s="31">
        <f t="shared" si="3"/>
        <v>5.3850000000000051</v>
      </c>
    </row>
    <row r="71" spans="1:19" x14ac:dyDescent="0.25">
      <c r="A71" s="10">
        <v>30</v>
      </c>
      <c r="B71" s="10">
        <v>36</v>
      </c>
      <c r="C71" s="10">
        <v>300</v>
      </c>
      <c r="D71" s="11">
        <v>2</v>
      </c>
      <c r="E71" s="10">
        <v>2</v>
      </c>
      <c r="F71" s="10">
        <v>8</v>
      </c>
      <c r="G71" s="12">
        <v>157</v>
      </c>
      <c r="H71" s="13">
        <v>3.24</v>
      </c>
      <c r="I71" s="12">
        <v>154</v>
      </c>
      <c r="J71" s="14">
        <v>98.088999999999999</v>
      </c>
      <c r="K71" s="28">
        <v>1.095</v>
      </c>
      <c r="L71" s="12">
        <v>155</v>
      </c>
      <c r="M71" s="14">
        <v>98.725999999999999</v>
      </c>
      <c r="N71" s="13">
        <v>325.87299999999999</v>
      </c>
      <c r="O71" s="12">
        <v>150</v>
      </c>
      <c r="P71" s="14">
        <v>95.540999999999997</v>
      </c>
      <c r="Q71" s="13">
        <v>17.690000000000001</v>
      </c>
      <c r="R71" s="31">
        <f t="shared" si="2"/>
        <v>0.63700000000000045</v>
      </c>
      <c r="S71" s="31">
        <f t="shared" si="3"/>
        <v>-2.5480000000000018</v>
      </c>
    </row>
    <row r="72" spans="1:19" x14ac:dyDescent="0.25">
      <c r="A72" s="15">
        <v>30</v>
      </c>
      <c r="B72" s="15">
        <v>36</v>
      </c>
      <c r="C72" s="15">
        <v>300</v>
      </c>
      <c r="D72" s="16">
        <v>3</v>
      </c>
      <c r="E72" s="15">
        <v>2</v>
      </c>
      <c r="F72" s="15">
        <v>5</v>
      </c>
      <c r="G72" s="17">
        <v>192</v>
      </c>
      <c r="H72" s="18">
        <v>4.2300000000000004</v>
      </c>
      <c r="I72" s="19">
        <v>178</v>
      </c>
      <c r="J72" s="20">
        <v>92.707999999999998</v>
      </c>
      <c r="K72" s="29">
        <v>1.9690000000000001</v>
      </c>
      <c r="L72" s="21">
        <v>188</v>
      </c>
      <c r="M72" s="22">
        <v>97.917000000000002</v>
      </c>
      <c r="N72" s="23">
        <v>431.39299999999997</v>
      </c>
      <c r="O72" s="24">
        <v>191</v>
      </c>
      <c r="P72" s="25">
        <v>99.478999999999999</v>
      </c>
      <c r="Q72" s="26">
        <v>21.367999999999999</v>
      </c>
      <c r="R72" s="31">
        <f t="shared" si="2"/>
        <v>5.2090000000000032</v>
      </c>
      <c r="S72" s="31">
        <f t="shared" si="3"/>
        <v>6.7710000000000008</v>
      </c>
    </row>
    <row r="73" spans="1:19" x14ac:dyDescent="0.25">
      <c r="A73" s="10">
        <v>30</v>
      </c>
      <c r="B73" s="10">
        <v>36</v>
      </c>
      <c r="C73" s="10">
        <v>400</v>
      </c>
      <c r="D73" s="11">
        <v>0.5</v>
      </c>
      <c r="E73" s="10">
        <v>4</v>
      </c>
      <c r="F73" s="10">
        <v>17</v>
      </c>
      <c r="G73" s="12">
        <v>160</v>
      </c>
      <c r="H73" s="13">
        <v>17.55</v>
      </c>
      <c r="I73" s="12">
        <v>159</v>
      </c>
      <c r="J73" s="14">
        <v>99.375</v>
      </c>
      <c r="K73" s="28">
        <v>0.76900000000000002</v>
      </c>
      <c r="L73" s="12">
        <v>160</v>
      </c>
      <c r="M73" s="14">
        <v>100</v>
      </c>
      <c r="N73" s="13">
        <v>197.47300000000001</v>
      </c>
      <c r="O73" s="12">
        <v>158</v>
      </c>
      <c r="P73" s="14">
        <v>98.75</v>
      </c>
      <c r="Q73" s="13">
        <v>21.100999999999999</v>
      </c>
      <c r="R73" s="31">
        <f t="shared" si="2"/>
        <v>0.625</v>
      </c>
      <c r="S73" s="31">
        <f t="shared" si="3"/>
        <v>-0.625</v>
      </c>
    </row>
    <row r="74" spans="1:19" x14ac:dyDescent="0.25">
      <c r="A74" s="15">
        <v>30</v>
      </c>
      <c r="B74" s="15">
        <v>36</v>
      </c>
      <c r="C74" s="15">
        <v>400</v>
      </c>
      <c r="D74" s="16">
        <v>1</v>
      </c>
      <c r="E74" s="15">
        <v>3</v>
      </c>
      <c r="F74" s="15">
        <v>14</v>
      </c>
      <c r="G74" s="17">
        <v>175</v>
      </c>
      <c r="H74" s="18">
        <v>10.46</v>
      </c>
      <c r="I74" s="19">
        <v>175</v>
      </c>
      <c r="J74" s="20">
        <v>100</v>
      </c>
      <c r="K74" s="29">
        <v>1.07</v>
      </c>
      <c r="L74" s="21">
        <v>175</v>
      </c>
      <c r="M74" s="22">
        <v>100</v>
      </c>
      <c r="N74" s="23">
        <v>282.63499999999999</v>
      </c>
      <c r="O74" s="24">
        <v>175</v>
      </c>
      <c r="P74" s="25">
        <v>100</v>
      </c>
      <c r="Q74" s="26">
        <v>25.388000000000002</v>
      </c>
      <c r="R74" s="31">
        <f t="shared" si="2"/>
        <v>0</v>
      </c>
      <c r="S74" s="31">
        <f t="shared" si="3"/>
        <v>0</v>
      </c>
    </row>
    <row r="75" spans="1:19" x14ac:dyDescent="0.25">
      <c r="A75" s="10">
        <v>30</v>
      </c>
      <c r="B75" s="10">
        <v>36</v>
      </c>
      <c r="C75" s="10">
        <v>400</v>
      </c>
      <c r="D75" s="11">
        <v>2</v>
      </c>
      <c r="E75" s="10">
        <v>2</v>
      </c>
      <c r="F75" s="10">
        <v>11</v>
      </c>
      <c r="G75" s="12">
        <v>188</v>
      </c>
      <c r="H75" s="13">
        <v>4.3899999999999997</v>
      </c>
      <c r="I75" s="12">
        <v>187</v>
      </c>
      <c r="J75" s="14">
        <v>99.468000000000004</v>
      </c>
      <c r="K75" s="28">
        <v>1.9930000000000001</v>
      </c>
      <c r="L75" s="12">
        <v>188</v>
      </c>
      <c r="M75" s="14">
        <v>100</v>
      </c>
      <c r="N75" s="13">
        <v>479.79599999999999</v>
      </c>
      <c r="O75" s="12">
        <v>188</v>
      </c>
      <c r="P75" s="14">
        <v>100</v>
      </c>
      <c r="Q75" s="13">
        <v>20.407</v>
      </c>
      <c r="R75" s="31">
        <f t="shared" si="2"/>
        <v>0.53199999999999648</v>
      </c>
      <c r="S75" s="31">
        <f t="shared" si="3"/>
        <v>0.53199999999999648</v>
      </c>
    </row>
    <row r="76" spans="1:19" x14ac:dyDescent="0.25">
      <c r="A76" s="15">
        <v>30</v>
      </c>
      <c r="B76" s="15">
        <v>36</v>
      </c>
      <c r="C76" s="15">
        <v>400</v>
      </c>
      <c r="D76" s="16">
        <v>3</v>
      </c>
      <c r="E76" s="15">
        <v>1</v>
      </c>
      <c r="F76" s="15">
        <v>9</v>
      </c>
      <c r="G76" s="17">
        <v>153</v>
      </c>
      <c r="H76" s="18">
        <v>5.38</v>
      </c>
      <c r="I76" s="19">
        <v>153</v>
      </c>
      <c r="J76" s="20">
        <v>100</v>
      </c>
      <c r="K76" s="29">
        <v>4.0060000000000002</v>
      </c>
      <c r="L76" s="21">
        <v>153</v>
      </c>
      <c r="M76" s="22">
        <v>100</v>
      </c>
      <c r="N76" s="23">
        <v>1039.68</v>
      </c>
      <c r="O76" s="24">
        <v>153</v>
      </c>
      <c r="P76" s="25">
        <v>100</v>
      </c>
      <c r="Q76" s="26">
        <v>20.036000000000001</v>
      </c>
      <c r="R76" s="31">
        <f t="shared" si="2"/>
        <v>0</v>
      </c>
      <c r="S76" s="31">
        <f t="shared" si="3"/>
        <v>0</v>
      </c>
    </row>
    <row r="77" spans="1:19" x14ac:dyDescent="0.25">
      <c r="A77" s="10">
        <v>30</v>
      </c>
      <c r="B77" s="10">
        <v>36</v>
      </c>
      <c r="C77" s="10">
        <v>500</v>
      </c>
      <c r="D77" s="11">
        <v>0.5</v>
      </c>
      <c r="E77" s="10">
        <v>3</v>
      </c>
      <c r="F77" s="10">
        <v>20</v>
      </c>
      <c r="G77" s="12">
        <v>172</v>
      </c>
      <c r="H77" s="13">
        <v>5.87</v>
      </c>
      <c r="I77" s="12">
        <v>172</v>
      </c>
      <c r="J77" s="14">
        <v>100</v>
      </c>
      <c r="K77" s="28">
        <v>1.1399999999999999</v>
      </c>
      <c r="L77" s="12">
        <v>172</v>
      </c>
      <c r="M77" s="14">
        <v>100</v>
      </c>
      <c r="N77" s="13">
        <v>283.16699999999997</v>
      </c>
      <c r="O77" s="12">
        <v>172</v>
      </c>
      <c r="P77" s="14">
        <v>100</v>
      </c>
      <c r="Q77" s="13">
        <v>28.696000000000002</v>
      </c>
      <c r="R77" s="31">
        <f t="shared" si="2"/>
        <v>0</v>
      </c>
      <c r="S77" s="31">
        <f t="shared" si="3"/>
        <v>0</v>
      </c>
    </row>
    <row r="78" spans="1:19" x14ac:dyDescent="0.25">
      <c r="A78" s="15">
        <v>30</v>
      </c>
      <c r="B78" s="15">
        <v>36</v>
      </c>
      <c r="C78" s="15">
        <v>500</v>
      </c>
      <c r="D78" s="16">
        <v>1</v>
      </c>
      <c r="E78" s="15">
        <v>3</v>
      </c>
      <c r="F78" s="15">
        <v>12</v>
      </c>
      <c r="G78" s="17">
        <v>235</v>
      </c>
      <c r="H78" s="18">
        <v>14.78</v>
      </c>
      <c r="I78" s="19">
        <v>231</v>
      </c>
      <c r="J78" s="20">
        <v>98.298000000000002</v>
      </c>
      <c r="K78" s="29">
        <v>1.7509999999999999</v>
      </c>
      <c r="L78" s="21">
        <v>233</v>
      </c>
      <c r="M78" s="22">
        <v>99.149000000000001</v>
      </c>
      <c r="N78" s="23">
        <v>370.32100000000003</v>
      </c>
      <c r="O78" s="24">
        <v>235</v>
      </c>
      <c r="P78" s="25">
        <v>100</v>
      </c>
      <c r="Q78" s="26">
        <v>51.96</v>
      </c>
      <c r="R78" s="31">
        <f t="shared" si="2"/>
        <v>0.85099999999999909</v>
      </c>
      <c r="S78" s="31">
        <f t="shared" si="3"/>
        <v>1.7019999999999982</v>
      </c>
    </row>
    <row r="79" spans="1:19" x14ac:dyDescent="0.25">
      <c r="A79" s="10">
        <v>30</v>
      </c>
      <c r="B79" s="10">
        <v>36</v>
      </c>
      <c r="C79" s="10">
        <v>500</v>
      </c>
      <c r="D79" s="11">
        <v>2</v>
      </c>
      <c r="E79" s="10">
        <v>2</v>
      </c>
      <c r="F79" s="10">
        <v>9</v>
      </c>
      <c r="G79" s="12">
        <v>248</v>
      </c>
      <c r="H79" s="13">
        <v>6.62</v>
      </c>
      <c r="I79" s="12">
        <v>241</v>
      </c>
      <c r="J79" s="14">
        <v>97.177000000000007</v>
      </c>
      <c r="K79" s="28">
        <v>3.7770000000000001</v>
      </c>
      <c r="L79" s="12">
        <v>244</v>
      </c>
      <c r="M79" s="14">
        <v>98.387</v>
      </c>
      <c r="N79" s="13">
        <v>622.76300000000003</v>
      </c>
      <c r="O79" s="12">
        <v>245</v>
      </c>
      <c r="P79" s="14">
        <v>98.79</v>
      </c>
      <c r="Q79" s="13">
        <v>60.281999999999996</v>
      </c>
      <c r="R79" s="31">
        <f t="shared" si="2"/>
        <v>1.2099999999999937</v>
      </c>
      <c r="S79" s="31">
        <f t="shared" si="3"/>
        <v>1.6129999999999995</v>
      </c>
    </row>
    <row r="80" spans="1:19" x14ac:dyDescent="0.25">
      <c r="A80" s="15">
        <v>30</v>
      </c>
      <c r="B80" s="15">
        <v>36</v>
      </c>
      <c r="C80" s="15">
        <v>500</v>
      </c>
      <c r="D80" s="16">
        <v>3</v>
      </c>
      <c r="E80" s="15">
        <v>2</v>
      </c>
      <c r="F80" s="15">
        <v>5</v>
      </c>
      <c r="G80" s="17">
        <v>295</v>
      </c>
      <c r="H80" s="18">
        <v>8.06</v>
      </c>
      <c r="I80" s="19">
        <v>284</v>
      </c>
      <c r="J80" s="20">
        <v>96.271000000000001</v>
      </c>
      <c r="K80" s="29">
        <v>10.805999999999999</v>
      </c>
      <c r="L80" s="21">
        <v>287</v>
      </c>
      <c r="M80" s="22">
        <v>97.287999999999997</v>
      </c>
      <c r="N80" s="23">
        <v>754.85799999999995</v>
      </c>
      <c r="O80" s="24">
        <v>290</v>
      </c>
      <c r="P80" s="25">
        <v>98.305000000000007</v>
      </c>
      <c r="Q80" s="26">
        <v>42.662999999999997</v>
      </c>
      <c r="R80" s="31">
        <f t="shared" si="2"/>
        <v>1.0169999999999959</v>
      </c>
      <c r="S80" s="31">
        <f t="shared" si="3"/>
        <v>2.034000000000006</v>
      </c>
    </row>
    <row r="81" spans="1:19" x14ac:dyDescent="0.25">
      <c r="A81" s="10">
        <v>42</v>
      </c>
      <c r="B81" s="10">
        <v>50</v>
      </c>
      <c r="C81" s="10">
        <v>10</v>
      </c>
      <c r="D81" s="11">
        <v>0.5</v>
      </c>
      <c r="E81" s="10">
        <v>1</v>
      </c>
      <c r="F81" s="10">
        <v>1</v>
      </c>
      <c r="G81" s="12">
        <v>2</v>
      </c>
      <c r="H81" s="13">
        <v>0.04</v>
      </c>
      <c r="I81" s="12">
        <v>2</v>
      </c>
      <c r="J81" s="14">
        <v>100</v>
      </c>
      <c r="K81" s="28">
        <v>3.0000000000000001E-3</v>
      </c>
      <c r="L81" s="12">
        <v>2</v>
      </c>
      <c r="M81" s="14">
        <v>100</v>
      </c>
      <c r="N81" s="13">
        <v>4.3239999999999998</v>
      </c>
      <c r="O81" s="12">
        <v>2</v>
      </c>
      <c r="P81" s="14">
        <v>100</v>
      </c>
      <c r="Q81" s="13">
        <v>0.60199999999999998</v>
      </c>
      <c r="R81" s="31">
        <f t="shared" si="2"/>
        <v>0</v>
      </c>
      <c r="S81" s="31">
        <f t="shared" si="3"/>
        <v>0</v>
      </c>
    </row>
    <row r="82" spans="1:19" x14ac:dyDescent="0.25">
      <c r="A82" s="15">
        <v>42</v>
      </c>
      <c r="B82" s="15">
        <v>50</v>
      </c>
      <c r="C82" s="15">
        <v>10</v>
      </c>
      <c r="D82" s="16">
        <v>1</v>
      </c>
      <c r="E82" s="15">
        <v>4</v>
      </c>
      <c r="F82" s="15">
        <v>1</v>
      </c>
      <c r="G82" s="17">
        <v>8</v>
      </c>
      <c r="H82" s="18">
        <v>0.05</v>
      </c>
      <c r="I82" s="19">
        <v>8</v>
      </c>
      <c r="J82" s="20">
        <v>100</v>
      </c>
      <c r="K82" s="29">
        <v>3.0000000000000001E-3</v>
      </c>
      <c r="L82" s="21">
        <v>8</v>
      </c>
      <c r="M82" s="22">
        <v>100</v>
      </c>
      <c r="N82" s="23">
        <v>6.03</v>
      </c>
      <c r="O82" s="24">
        <v>8</v>
      </c>
      <c r="P82" s="25">
        <v>100</v>
      </c>
      <c r="Q82" s="26">
        <v>3.4510000000000001</v>
      </c>
      <c r="R82" s="31">
        <f t="shared" si="2"/>
        <v>0</v>
      </c>
      <c r="S82" s="31">
        <f t="shared" si="3"/>
        <v>0</v>
      </c>
    </row>
    <row r="83" spans="1:19" x14ac:dyDescent="0.25">
      <c r="A83" s="10">
        <v>42</v>
      </c>
      <c r="B83" s="10">
        <v>50</v>
      </c>
      <c r="C83" s="10">
        <v>10</v>
      </c>
      <c r="D83" s="11">
        <v>2</v>
      </c>
      <c r="E83" s="10">
        <v>2</v>
      </c>
      <c r="F83" s="10">
        <v>2</v>
      </c>
      <c r="G83" s="12">
        <v>7</v>
      </c>
      <c r="H83" s="13">
        <v>7.0000000000000007E-2</v>
      </c>
      <c r="I83" s="12">
        <v>7</v>
      </c>
      <c r="J83" s="14">
        <v>100</v>
      </c>
      <c r="K83" s="28">
        <v>3.0000000000000001E-3</v>
      </c>
      <c r="L83" s="12">
        <v>7</v>
      </c>
      <c r="M83" s="14">
        <v>100</v>
      </c>
      <c r="N83" s="13">
        <v>8.2569999999999997</v>
      </c>
      <c r="O83" s="12">
        <v>7</v>
      </c>
      <c r="P83" s="14">
        <v>100</v>
      </c>
      <c r="Q83" s="13">
        <v>1.5640000000000001</v>
      </c>
      <c r="R83" s="31">
        <f t="shared" si="2"/>
        <v>0</v>
      </c>
      <c r="S83" s="31">
        <f t="shared" si="3"/>
        <v>0</v>
      </c>
    </row>
    <row r="84" spans="1:19" x14ac:dyDescent="0.25">
      <c r="A84" s="15">
        <v>42</v>
      </c>
      <c r="B84" s="15">
        <v>50</v>
      </c>
      <c r="C84" s="15">
        <v>10</v>
      </c>
      <c r="D84" s="16">
        <v>3</v>
      </c>
      <c r="E84" s="15">
        <v>2</v>
      </c>
      <c r="F84" s="15">
        <v>1</v>
      </c>
      <c r="G84" s="17">
        <v>5</v>
      </c>
      <c r="H84" s="18">
        <v>7.0000000000000007E-2</v>
      </c>
      <c r="I84" s="19">
        <v>5</v>
      </c>
      <c r="J84" s="20">
        <v>100</v>
      </c>
      <c r="K84" s="29">
        <v>3.0000000000000001E-3</v>
      </c>
      <c r="L84" s="21">
        <v>5</v>
      </c>
      <c r="M84" s="22">
        <v>100</v>
      </c>
      <c r="N84" s="23">
        <v>8.9459999999999997</v>
      </c>
      <c r="O84" s="24">
        <v>5</v>
      </c>
      <c r="P84" s="25">
        <v>100</v>
      </c>
      <c r="Q84" s="26">
        <v>1.355</v>
      </c>
      <c r="R84" s="31">
        <f t="shared" si="2"/>
        <v>0</v>
      </c>
      <c r="S84" s="31">
        <f t="shared" si="3"/>
        <v>0</v>
      </c>
    </row>
    <row r="85" spans="1:19" x14ac:dyDescent="0.25">
      <c r="A85" s="10">
        <v>42</v>
      </c>
      <c r="B85" s="10">
        <v>50</v>
      </c>
      <c r="C85" s="10">
        <v>25</v>
      </c>
      <c r="D85" s="11">
        <v>0.5</v>
      </c>
      <c r="E85" s="10">
        <v>2</v>
      </c>
      <c r="F85" s="10">
        <v>1</v>
      </c>
      <c r="G85" s="12">
        <v>5</v>
      </c>
      <c r="H85" s="13">
        <v>0.11</v>
      </c>
      <c r="I85" s="12">
        <v>5</v>
      </c>
      <c r="J85" s="14">
        <v>100</v>
      </c>
      <c r="K85" s="28">
        <v>1.0999999999999999E-2</v>
      </c>
      <c r="L85" s="12">
        <v>5</v>
      </c>
      <c r="M85" s="14">
        <v>100</v>
      </c>
      <c r="N85" s="13">
        <v>11.212</v>
      </c>
      <c r="O85" s="12">
        <v>5</v>
      </c>
      <c r="P85" s="14">
        <v>100</v>
      </c>
      <c r="Q85" s="13">
        <v>1.349</v>
      </c>
      <c r="R85" s="31">
        <f t="shared" si="2"/>
        <v>0</v>
      </c>
      <c r="S85" s="31">
        <f t="shared" si="3"/>
        <v>0</v>
      </c>
    </row>
    <row r="86" spans="1:19" x14ac:dyDescent="0.25">
      <c r="A86" s="15">
        <v>42</v>
      </c>
      <c r="B86" s="15">
        <v>50</v>
      </c>
      <c r="C86" s="15">
        <v>25</v>
      </c>
      <c r="D86" s="16">
        <v>1</v>
      </c>
      <c r="E86" s="15">
        <v>4</v>
      </c>
      <c r="F86" s="15">
        <v>3</v>
      </c>
      <c r="G86" s="17">
        <v>14</v>
      </c>
      <c r="H86" s="18">
        <v>0.11</v>
      </c>
      <c r="I86" s="19">
        <v>14</v>
      </c>
      <c r="J86" s="20">
        <v>100</v>
      </c>
      <c r="K86" s="29">
        <v>0.01</v>
      </c>
      <c r="L86" s="21">
        <v>14</v>
      </c>
      <c r="M86" s="22">
        <v>100</v>
      </c>
      <c r="N86" s="23">
        <v>12.074</v>
      </c>
      <c r="O86" s="24">
        <v>14</v>
      </c>
      <c r="P86" s="25">
        <v>100</v>
      </c>
      <c r="Q86" s="26">
        <v>3.8780000000000001</v>
      </c>
      <c r="R86" s="31">
        <f t="shared" si="2"/>
        <v>0</v>
      </c>
      <c r="S86" s="31">
        <f t="shared" si="3"/>
        <v>0</v>
      </c>
    </row>
    <row r="87" spans="1:19" x14ac:dyDescent="0.25">
      <c r="A87" s="10">
        <v>42</v>
      </c>
      <c r="B87" s="10">
        <v>50</v>
      </c>
      <c r="C87" s="10">
        <v>25</v>
      </c>
      <c r="D87" s="11">
        <v>2</v>
      </c>
      <c r="E87" s="10">
        <v>6</v>
      </c>
      <c r="F87" s="10">
        <v>1</v>
      </c>
      <c r="G87" s="12">
        <v>19</v>
      </c>
      <c r="H87" s="13">
        <v>0.14000000000000001</v>
      </c>
      <c r="I87" s="12">
        <v>19</v>
      </c>
      <c r="J87" s="14">
        <v>100</v>
      </c>
      <c r="K87" s="28">
        <v>0.01</v>
      </c>
      <c r="L87" s="12">
        <v>18</v>
      </c>
      <c r="M87" s="14">
        <v>94.736999999999995</v>
      </c>
      <c r="N87" s="13">
        <v>15.365</v>
      </c>
      <c r="O87" s="12">
        <v>19</v>
      </c>
      <c r="P87" s="14">
        <v>100</v>
      </c>
      <c r="Q87" s="13">
        <v>8.9629999999999992</v>
      </c>
      <c r="R87" s="31">
        <f t="shared" si="2"/>
        <v>-5.2630000000000052</v>
      </c>
      <c r="S87" s="31">
        <f t="shared" si="3"/>
        <v>0</v>
      </c>
    </row>
    <row r="88" spans="1:19" x14ac:dyDescent="0.25">
      <c r="A88" s="15">
        <v>42</v>
      </c>
      <c r="B88" s="15">
        <v>50</v>
      </c>
      <c r="C88" s="15">
        <v>25</v>
      </c>
      <c r="D88" s="16">
        <v>3</v>
      </c>
      <c r="E88" s="15">
        <v>1</v>
      </c>
      <c r="F88" s="15">
        <v>3</v>
      </c>
      <c r="G88" s="17">
        <v>8</v>
      </c>
      <c r="H88" s="18">
        <v>0.15</v>
      </c>
      <c r="I88" s="19">
        <v>7</v>
      </c>
      <c r="J88" s="20">
        <v>87.5</v>
      </c>
      <c r="K88" s="29">
        <v>0.01</v>
      </c>
      <c r="L88" s="21">
        <v>7</v>
      </c>
      <c r="M88" s="22">
        <v>87.5</v>
      </c>
      <c r="N88" s="23">
        <v>19.225000000000001</v>
      </c>
      <c r="O88" s="24">
        <v>8</v>
      </c>
      <c r="P88" s="25">
        <v>100</v>
      </c>
      <c r="Q88" s="26">
        <v>1.077</v>
      </c>
      <c r="R88" s="31">
        <f t="shared" si="2"/>
        <v>0</v>
      </c>
      <c r="S88" s="31">
        <f t="shared" si="3"/>
        <v>12.5</v>
      </c>
    </row>
    <row r="89" spans="1:19" x14ac:dyDescent="0.25">
      <c r="A89" s="10">
        <v>42</v>
      </c>
      <c r="B89" s="10">
        <v>50</v>
      </c>
      <c r="C89" s="10">
        <v>50</v>
      </c>
      <c r="D89" s="11">
        <v>0.5</v>
      </c>
      <c r="E89" s="10">
        <v>5</v>
      </c>
      <c r="F89" s="10">
        <v>3</v>
      </c>
      <c r="G89" s="12">
        <v>21</v>
      </c>
      <c r="H89" s="13">
        <v>0.19</v>
      </c>
      <c r="I89" s="12">
        <v>21</v>
      </c>
      <c r="J89" s="14">
        <v>100</v>
      </c>
      <c r="K89" s="28">
        <v>2.7E-2</v>
      </c>
      <c r="L89" s="12">
        <v>21</v>
      </c>
      <c r="M89" s="14">
        <v>100</v>
      </c>
      <c r="N89" s="13">
        <v>19.384</v>
      </c>
      <c r="O89" s="12">
        <v>21</v>
      </c>
      <c r="P89" s="14">
        <v>100</v>
      </c>
      <c r="Q89" s="13">
        <v>6.4539999999999997</v>
      </c>
      <c r="R89" s="31">
        <f t="shared" si="2"/>
        <v>0</v>
      </c>
      <c r="S89" s="31">
        <f t="shared" si="3"/>
        <v>0</v>
      </c>
    </row>
    <row r="90" spans="1:19" x14ac:dyDescent="0.25">
      <c r="A90" s="15">
        <v>42</v>
      </c>
      <c r="B90" s="15">
        <v>50</v>
      </c>
      <c r="C90" s="15">
        <v>50</v>
      </c>
      <c r="D90" s="16">
        <v>1</v>
      </c>
      <c r="E90" s="15">
        <v>6</v>
      </c>
      <c r="F90" s="15">
        <v>3</v>
      </c>
      <c r="G90" s="17">
        <v>31</v>
      </c>
      <c r="H90" s="18">
        <v>0.26</v>
      </c>
      <c r="I90" s="19">
        <v>29</v>
      </c>
      <c r="J90" s="20">
        <v>93.548000000000002</v>
      </c>
      <c r="K90" s="29">
        <v>2.8000000000000001E-2</v>
      </c>
      <c r="L90" s="21">
        <v>30</v>
      </c>
      <c r="M90" s="22">
        <v>96.774000000000001</v>
      </c>
      <c r="N90" s="23">
        <v>21.638000000000002</v>
      </c>
      <c r="O90" s="24">
        <v>31</v>
      </c>
      <c r="P90" s="25">
        <v>100</v>
      </c>
      <c r="Q90" s="26">
        <v>8.9440000000000008</v>
      </c>
      <c r="R90" s="31">
        <f t="shared" si="2"/>
        <v>3.2259999999999991</v>
      </c>
      <c r="S90" s="31">
        <f t="shared" si="3"/>
        <v>6.4519999999999982</v>
      </c>
    </row>
    <row r="91" spans="1:19" x14ac:dyDescent="0.25">
      <c r="A91" s="10">
        <v>42</v>
      </c>
      <c r="B91" s="10">
        <v>50</v>
      </c>
      <c r="C91" s="10">
        <v>50</v>
      </c>
      <c r="D91" s="11">
        <v>2</v>
      </c>
      <c r="E91" s="10">
        <v>3</v>
      </c>
      <c r="F91" s="10">
        <v>4</v>
      </c>
      <c r="G91" s="12">
        <v>26</v>
      </c>
      <c r="H91" s="13">
        <v>0.48</v>
      </c>
      <c r="I91" s="12">
        <v>25</v>
      </c>
      <c r="J91" s="14">
        <v>96.153999999999996</v>
      </c>
      <c r="K91" s="28">
        <v>2.5999999999999999E-2</v>
      </c>
      <c r="L91" s="12">
        <v>26</v>
      </c>
      <c r="M91" s="14">
        <v>100</v>
      </c>
      <c r="N91" s="13">
        <v>30.236999999999998</v>
      </c>
      <c r="O91" s="12">
        <v>26</v>
      </c>
      <c r="P91" s="14">
        <v>100</v>
      </c>
      <c r="Q91" s="13">
        <v>4.0259999999999998</v>
      </c>
      <c r="R91" s="31">
        <f t="shared" si="2"/>
        <v>3.8460000000000036</v>
      </c>
      <c r="S91" s="31">
        <f t="shared" si="3"/>
        <v>3.8460000000000036</v>
      </c>
    </row>
    <row r="92" spans="1:19" x14ac:dyDescent="0.25">
      <c r="A92" s="15">
        <v>42</v>
      </c>
      <c r="B92" s="15">
        <v>50</v>
      </c>
      <c r="C92" s="15">
        <v>50</v>
      </c>
      <c r="D92" s="16">
        <v>3</v>
      </c>
      <c r="E92" s="15">
        <v>4</v>
      </c>
      <c r="F92" s="15">
        <v>1</v>
      </c>
      <c r="G92" s="17">
        <v>28</v>
      </c>
      <c r="H92" s="18">
        <v>0.33</v>
      </c>
      <c r="I92" s="19">
        <v>26</v>
      </c>
      <c r="J92" s="20">
        <v>92.856999999999999</v>
      </c>
      <c r="K92" s="29">
        <v>2.7E-2</v>
      </c>
      <c r="L92" s="21">
        <v>28</v>
      </c>
      <c r="M92" s="22">
        <v>100</v>
      </c>
      <c r="N92" s="23">
        <v>36.256</v>
      </c>
      <c r="O92" s="24">
        <v>28</v>
      </c>
      <c r="P92" s="25">
        <v>100</v>
      </c>
      <c r="Q92" s="26">
        <v>7.2750000000000004</v>
      </c>
      <c r="R92" s="31">
        <f t="shared" si="2"/>
        <v>7.1430000000000007</v>
      </c>
      <c r="S92" s="31">
        <f t="shared" si="3"/>
        <v>7.1430000000000007</v>
      </c>
    </row>
    <row r="93" spans="1:19" x14ac:dyDescent="0.25">
      <c r="A93" s="10">
        <v>42</v>
      </c>
      <c r="B93" s="10">
        <v>50</v>
      </c>
      <c r="C93" s="10">
        <v>100</v>
      </c>
      <c r="D93" s="11">
        <v>0.5</v>
      </c>
      <c r="E93" s="10">
        <v>6</v>
      </c>
      <c r="F93" s="10">
        <v>6</v>
      </c>
      <c r="G93" s="12">
        <v>47</v>
      </c>
      <c r="H93" s="13">
        <v>0.41</v>
      </c>
      <c r="I93" s="12">
        <v>45</v>
      </c>
      <c r="J93" s="14">
        <v>95.745000000000005</v>
      </c>
      <c r="K93" s="28">
        <v>7.0999999999999994E-2</v>
      </c>
      <c r="L93" s="12">
        <v>45</v>
      </c>
      <c r="M93" s="14">
        <v>95.745000000000005</v>
      </c>
      <c r="N93" s="13">
        <v>35.942999999999998</v>
      </c>
      <c r="O93" s="12">
        <v>47</v>
      </c>
      <c r="P93" s="14">
        <v>100</v>
      </c>
      <c r="Q93" s="13">
        <v>13.920999999999999</v>
      </c>
      <c r="R93" s="31">
        <f t="shared" si="2"/>
        <v>0</v>
      </c>
      <c r="S93" s="31">
        <f t="shared" si="3"/>
        <v>4.2549999999999955</v>
      </c>
    </row>
    <row r="94" spans="1:19" x14ac:dyDescent="0.25">
      <c r="A94" s="15">
        <v>42</v>
      </c>
      <c r="B94" s="15">
        <v>50</v>
      </c>
      <c r="C94" s="15">
        <v>100</v>
      </c>
      <c r="D94" s="16">
        <v>1</v>
      </c>
      <c r="E94" s="15">
        <v>5</v>
      </c>
      <c r="F94" s="15">
        <v>7</v>
      </c>
      <c r="G94" s="17">
        <v>53</v>
      </c>
      <c r="H94" s="18">
        <v>0.48</v>
      </c>
      <c r="I94" s="19">
        <v>52</v>
      </c>
      <c r="J94" s="20">
        <v>98.113</v>
      </c>
      <c r="K94" s="29">
        <v>6.6000000000000003E-2</v>
      </c>
      <c r="L94" s="21">
        <v>53</v>
      </c>
      <c r="M94" s="22">
        <v>100</v>
      </c>
      <c r="N94" s="23">
        <v>42.741</v>
      </c>
      <c r="O94" s="24">
        <v>53</v>
      </c>
      <c r="P94" s="25">
        <v>100</v>
      </c>
      <c r="Q94" s="26">
        <v>8.1620000000000008</v>
      </c>
      <c r="R94" s="31">
        <f t="shared" si="2"/>
        <v>1.8870000000000005</v>
      </c>
      <c r="S94" s="31">
        <f t="shared" si="3"/>
        <v>1.8870000000000005</v>
      </c>
    </row>
    <row r="95" spans="1:19" x14ac:dyDescent="0.25">
      <c r="A95" s="10">
        <v>42</v>
      </c>
      <c r="B95" s="10">
        <v>50</v>
      </c>
      <c r="C95" s="10">
        <v>100</v>
      </c>
      <c r="D95" s="11">
        <v>2</v>
      </c>
      <c r="E95" s="10">
        <v>3</v>
      </c>
      <c r="F95" s="10">
        <v>6</v>
      </c>
      <c r="G95" s="12">
        <v>58</v>
      </c>
      <c r="H95" s="13">
        <v>1.61</v>
      </c>
      <c r="I95" s="12">
        <v>55</v>
      </c>
      <c r="J95" s="14">
        <v>94.828000000000003</v>
      </c>
      <c r="K95" s="28">
        <v>7.8E-2</v>
      </c>
      <c r="L95" s="12">
        <v>58</v>
      </c>
      <c r="M95" s="14">
        <v>100</v>
      </c>
      <c r="N95" s="13">
        <v>62.030999999999999</v>
      </c>
      <c r="O95" s="12">
        <v>58</v>
      </c>
      <c r="P95" s="14">
        <v>100</v>
      </c>
      <c r="Q95" s="13">
        <v>6.1929999999999996</v>
      </c>
      <c r="R95" s="31">
        <f t="shared" si="2"/>
        <v>5.171999999999997</v>
      </c>
      <c r="S95" s="31">
        <f t="shared" si="3"/>
        <v>5.171999999999997</v>
      </c>
    </row>
    <row r="96" spans="1:19" x14ac:dyDescent="0.25">
      <c r="A96" s="15">
        <v>42</v>
      </c>
      <c r="B96" s="15">
        <v>50</v>
      </c>
      <c r="C96" s="15">
        <v>100</v>
      </c>
      <c r="D96" s="16">
        <v>3</v>
      </c>
      <c r="E96" s="15">
        <v>2</v>
      </c>
      <c r="F96" s="15">
        <v>8</v>
      </c>
      <c r="G96" s="17">
        <v>49</v>
      </c>
      <c r="H96" s="18">
        <v>0.65</v>
      </c>
      <c r="I96" s="19">
        <v>49</v>
      </c>
      <c r="J96" s="20">
        <v>100</v>
      </c>
      <c r="K96" s="29">
        <v>8.5999999999999993E-2</v>
      </c>
      <c r="L96" s="21">
        <v>49</v>
      </c>
      <c r="M96" s="22">
        <v>100</v>
      </c>
      <c r="N96" s="23">
        <v>81.768000000000001</v>
      </c>
      <c r="O96" s="24">
        <v>49</v>
      </c>
      <c r="P96" s="25">
        <v>100</v>
      </c>
      <c r="Q96" s="26">
        <v>3.7330000000000001</v>
      </c>
      <c r="R96" s="31">
        <f t="shared" si="2"/>
        <v>0</v>
      </c>
      <c r="S96" s="31">
        <f t="shared" si="3"/>
        <v>0</v>
      </c>
    </row>
    <row r="97" spans="1:19" x14ac:dyDescent="0.25">
      <c r="A97" s="10">
        <v>42</v>
      </c>
      <c r="B97" s="10">
        <v>50</v>
      </c>
      <c r="C97" s="10">
        <v>200</v>
      </c>
      <c r="D97" s="11">
        <v>0.5</v>
      </c>
      <c r="E97" s="10">
        <v>8</v>
      </c>
      <c r="F97" s="10">
        <v>5</v>
      </c>
      <c r="G97" s="12">
        <v>102</v>
      </c>
      <c r="H97" s="13">
        <v>2.57</v>
      </c>
      <c r="I97" s="12">
        <v>96</v>
      </c>
      <c r="J97" s="14">
        <v>94.117999999999995</v>
      </c>
      <c r="K97" s="28">
        <v>0.2</v>
      </c>
      <c r="L97" s="12">
        <v>99</v>
      </c>
      <c r="M97" s="14">
        <v>97.058999999999997</v>
      </c>
      <c r="N97" s="13">
        <v>69.034999999999997</v>
      </c>
      <c r="O97" s="12">
        <v>100</v>
      </c>
      <c r="P97" s="14">
        <v>98.039000000000001</v>
      </c>
      <c r="Q97" s="13">
        <v>32.198999999999998</v>
      </c>
      <c r="R97" s="31">
        <f t="shared" si="2"/>
        <v>2.9410000000000025</v>
      </c>
      <c r="S97" s="31">
        <f t="shared" si="3"/>
        <v>3.9210000000000065</v>
      </c>
    </row>
    <row r="98" spans="1:19" x14ac:dyDescent="0.25">
      <c r="A98" s="15">
        <v>42</v>
      </c>
      <c r="B98" s="15">
        <v>50</v>
      </c>
      <c r="C98" s="15">
        <v>200</v>
      </c>
      <c r="D98" s="16">
        <v>1</v>
      </c>
      <c r="E98" s="15">
        <v>4</v>
      </c>
      <c r="F98" s="15">
        <v>11</v>
      </c>
      <c r="G98" s="17">
        <v>92</v>
      </c>
      <c r="H98" s="18">
        <v>0.91</v>
      </c>
      <c r="I98" s="19">
        <v>92</v>
      </c>
      <c r="J98" s="20">
        <v>100</v>
      </c>
      <c r="K98" s="29">
        <v>0.19800000000000001</v>
      </c>
      <c r="L98" s="21">
        <v>92</v>
      </c>
      <c r="M98" s="22">
        <v>100</v>
      </c>
      <c r="N98" s="23">
        <v>89.575000000000003</v>
      </c>
      <c r="O98" s="24">
        <v>92</v>
      </c>
      <c r="P98" s="25">
        <v>100</v>
      </c>
      <c r="Q98" s="26">
        <v>13.926</v>
      </c>
      <c r="R98" s="31">
        <f t="shared" si="2"/>
        <v>0</v>
      </c>
      <c r="S98" s="31">
        <f t="shared" si="3"/>
        <v>0</v>
      </c>
    </row>
    <row r="99" spans="1:19" x14ac:dyDescent="0.25">
      <c r="A99" s="10">
        <v>42</v>
      </c>
      <c r="B99" s="10">
        <v>50</v>
      </c>
      <c r="C99" s="10">
        <v>200</v>
      </c>
      <c r="D99" s="11">
        <v>2</v>
      </c>
      <c r="E99" s="10">
        <v>2</v>
      </c>
      <c r="F99" s="10">
        <v>10</v>
      </c>
      <c r="G99" s="12">
        <v>79</v>
      </c>
      <c r="H99" s="13">
        <v>1.3</v>
      </c>
      <c r="I99" s="12">
        <v>79</v>
      </c>
      <c r="J99" s="14">
        <v>100</v>
      </c>
      <c r="K99" s="28">
        <v>0.25600000000000001</v>
      </c>
      <c r="L99" s="12">
        <v>79</v>
      </c>
      <c r="M99" s="14">
        <v>100</v>
      </c>
      <c r="N99" s="13">
        <v>140.32300000000001</v>
      </c>
      <c r="O99" s="12">
        <v>78</v>
      </c>
      <c r="P99" s="14">
        <v>98.733999999999995</v>
      </c>
      <c r="Q99" s="13">
        <v>6.2709999999999999</v>
      </c>
      <c r="R99" s="31">
        <f t="shared" si="2"/>
        <v>0</v>
      </c>
      <c r="S99" s="31">
        <f t="shared" si="3"/>
        <v>-1.2660000000000053</v>
      </c>
    </row>
    <row r="100" spans="1:19" x14ac:dyDescent="0.25">
      <c r="A100" s="15">
        <v>42</v>
      </c>
      <c r="B100" s="15">
        <v>50</v>
      </c>
      <c r="C100" s="15">
        <v>200</v>
      </c>
      <c r="D100" s="16">
        <v>3</v>
      </c>
      <c r="E100" s="15">
        <v>2</v>
      </c>
      <c r="F100" s="15">
        <v>6</v>
      </c>
      <c r="G100" s="17">
        <v>104</v>
      </c>
      <c r="H100" s="18">
        <v>1.85</v>
      </c>
      <c r="I100" s="19">
        <v>97</v>
      </c>
      <c r="J100" s="20">
        <v>93.269000000000005</v>
      </c>
      <c r="K100" s="29">
        <v>0.34</v>
      </c>
      <c r="L100" s="21">
        <v>104</v>
      </c>
      <c r="M100" s="22">
        <v>100</v>
      </c>
      <c r="N100" s="23">
        <v>179.273</v>
      </c>
      <c r="O100" s="24">
        <v>104</v>
      </c>
      <c r="P100" s="25">
        <v>100</v>
      </c>
      <c r="Q100" s="26">
        <v>11.632999999999999</v>
      </c>
      <c r="R100" s="31">
        <f t="shared" si="2"/>
        <v>6.7309999999999945</v>
      </c>
      <c r="S100" s="31">
        <f t="shared" si="3"/>
        <v>6.7309999999999945</v>
      </c>
    </row>
    <row r="101" spans="1:19" x14ac:dyDescent="0.25">
      <c r="A101" s="10">
        <v>42</v>
      </c>
      <c r="B101" s="10">
        <v>50</v>
      </c>
      <c r="C101" s="10">
        <v>300</v>
      </c>
      <c r="D101" s="11">
        <v>0.5</v>
      </c>
      <c r="E101" s="10">
        <v>6</v>
      </c>
      <c r="F101" s="10">
        <v>10</v>
      </c>
      <c r="G101" s="12">
        <v>116</v>
      </c>
      <c r="H101" s="13">
        <v>4.83</v>
      </c>
      <c r="I101" s="12">
        <v>114</v>
      </c>
      <c r="J101" s="14">
        <v>98.275999999999996</v>
      </c>
      <c r="K101" s="28">
        <v>0.39100000000000001</v>
      </c>
      <c r="L101" s="12">
        <v>114</v>
      </c>
      <c r="M101" s="14">
        <v>98.275999999999996</v>
      </c>
      <c r="N101" s="13">
        <v>106.71</v>
      </c>
      <c r="O101" s="12">
        <v>116</v>
      </c>
      <c r="P101" s="14">
        <v>100</v>
      </c>
      <c r="Q101" s="13">
        <v>25.114999999999998</v>
      </c>
      <c r="R101" s="31">
        <f t="shared" si="2"/>
        <v>0</v>
      </c>
      <c r="S101" s="31">
        <f t="shared" si="3"/>
        <v>1.7240000000000038</v>
      </c>
    </row>
    <row r="102" spans="1:19" x14ac:dyDescent="0.25">
      <c r="A102" s="15">
        <v>42</v>
      </c>
      <c r="B102" s="15">
        <v>50</v>
      </c>
      <c r="C102" s="15">
        <v>300</v>
      </c>
      <c r="D102" s="16">
        <v>1</v>
      </c>
      <c r="E102" s="15">
        <v>3</v>
      </c>
      <c r="F102" s="15">
        <v>14</v>
      </c>
      <c r="G102" s="17">
        <v>105</v>
      </c>
      <c r="H102" s="18">
        <v>2.0099999999999998</v>
      </c>
      <c r="I102" s="19">
        <v>104</v>
      </c>
      <c r="J102" s="20">
        <v>99.048000000000002</v>
      </c>
      <c r="K102" s="29">
        <v>0.42599999999999999</v>
      </c>
      <c r="L102" s="21">
        <v>105</v>
      </c>
      <c r="M102" s="22">
        <v>100</v>
      </c>
      <c r="N102" s="23">
        <v>145.94900000000001</v>
      </c>
      <c r="O102" s="24">
        <v>105</v>
      </c>
      <c r="P102" s="25">
        <v>100</v>
      </c>
      <c r="Q102" s="26">
        <v>12.106</v>
      </c>
      <c r="R102" s="31">
        <f t="shared" si="2"/>
        <v>0.95199999999999818</v>
      </c>
      <c r="S102" s="31">
        <f t="shared" si="3"/>
        <v>0.95199999999999818</v>
      </c>
    </row>
    <row r="103" spans="1:19" x14ac:dyDescent="0.25">
      <c r="A103" s="10">
        <v>42</v>
      </c>
      <c r="B103" s="10">
        <v>50</v>
      </c>
      <c r="C103" s="10">
        <v>300</v>
      </c>
      <c r="D103" s="11">
        <v>2</v>
      </c>
      <c r="E103" s="10">
        <v>3</v>
      </c>
      <c r="F103" s="10">
        <v>9</v>
      </c>
      <c r="G103" s="12">
        <v>151</v>
      </c>
      <c r="H103" s="13">
        <v>6.46</v>
      </c>
      <c r="I103" s="12">
        <v>150</v>
      </c>
      <c r="J103" s="14">
        <v>99.337999999999994</v>
      </c>
      <c r="K103" s="28">
        <v>0.64</v>
      </c>
      <c r="L103" s="12">
        <v>150</v>
      </c>
      <c r="M103" s="14">
        <v>99.337999999999994</v>
      </c>
      <c r="N103" s="13">
        <v>201.17500000000001</v>
      </c>
      <c r="O103" s="12">
        <v>141</v>
      </c>
      <c r="P103" s="14">
        <v>93.376999999999995</v>
      </c>
      <c r="Q103" s="13">
        <v>20.631</v>
      </c>
      <c r="R103" s="31">
        <f t="shared" si="2"/>
        <v>0</v>
      </c>
      <c r="S103" s="31">
        <f t="shared" si="3"/>
        <v>-5.9609999999999985</v>
      </c>
    </row>
    <row r="104" spans="1:19" x14ac:dyDescent="0.25">
      <c r="A104" s="15">
        <v>42</v>
      </c>
      <c r="B104" s="15">
        <v>50</v>
      </c>
      <c r="C104" s="15">
        <v>300</v>
      </c>
      <c r="D104" s="16">
        <v>3</v>
      </c>
      <c r="E104" s="15">
        <v>2</v>
      </c>
      <c r="F104" s="15">
        <v>9</v>
      </c>
      <c r="G104" s="17">
        <v>150</v>
      </c>
      <c r="H104" s="18">
        <v>2.81</v>
      </c>
      <c r="I104" s="19">
        <v>142</v>
      </c>
      <c r="J104" s="20">
        <v>94.667000000000002</v>
      </c>
      <c r="K104" s="29">
        <v>0.84199999999999997</v>
      </c>
      <c r="L104" s="21">
        <v>150</v>
      </c>
      <c r="M104" s="22">
        <v>100</v>
      </c>
      <c r="N104" s="23">
        <v>295.07499999999999</v>
      </c>
      <c r="O104" s="24">
        <v>150</v>
      </c>
      <c r="P104" s="25">
        <v>100</v>
      </c>
      <c r="Q104" s="26">
        <v>13.443</v>
      </c>
      <c r="R104" s="31">
        <f t="shared" si="2"/>
        <v>5.3329999999999984</v>
      </c>
      <c r="S104" s="31">
        <f t="shared" si="3"/>
        <v>5.3329999999999984</v>
      </c>
    </row>
    <row r="105" spans="1:19" x14ac:dyDescent="0.25">
      <c r="A105" s="10">
        <v>42</v>
      </c>
      <c r="B105" s="10">
        <v>50</v>
      </c>
      <c r="C105" s="10">
        <v>400</v>
      </c>
      <c r="D105" s="11">
        <v>0.5</v>
      </c>
      <c r="E105" s="10">
        <v>5</v>
      </c>
      <c r="F105" s="10">
        <v>16</v>
      </c>
      <c r="G105" s="12">
        <v>144</v>
      </c>
      <c r="H105" s="13">
        <v>2.81</v>
      </c>
      <c r="I105" s="12">
        <v>144</v>
      </c>
      <c r="J105" s="14">
        <v>100</v>
      </c>
      <c r="K105" s="28">
        <v>0.58399999999999996</v>
      </c>
      <c r="L105" s="12">
        <v>144</v>
      </c>
      <c r="M105" s="14">
        <v>100</v>
      </c>
      <c r="N105" s="13">
        <v>158.071</v>
      </c>
      <c r="O105" s="12">
        <v>141</v>
      </c>
      <c r="P105" s="14">
        <v>97.917000000000002</v>
      </c>
      <c r="Q105" s="13">
        <v>19.658999999999999</v>
      </c>
      <c r="R105" s="31">
        <f t="shared" si="2"/>
        <v>0</v>
      </c>
      <c r="S105" s="31">
        <f t="shared" si="3"/>
        <v>-2.0829999999999984</v>
      </c>
    </row>
    <row r="106" spans="1:19" x14ac:dyDescent="0.25">
      <c r="A106" s="15">
        <v>42</v>
      </c>
      <c r="B106" s="15">
        <v>50</v>
      </c>
      <c r="C106" s="15">
        <v>400</v>
      </c>
      <c r="D106" s="16">
        <v>1</v>
      </c>
      <c r="E106" s="15">
        <v>3</v>
      </c>
      <c r="F106" s="15">
        <v>17</v>
      </c>
      <c r="G106" s="17">
        <v>147</v>
      </c>
      <c r="H106" s="18">
        <v>3.76</v>
      </c>
      <c r="I106" s="19">
        <v>147</v>
      </c>
      <c r="J106" s="20">
        <v>100</v>
      </c>
      <c r="K106" s="29">
        <v>0.66400000000000003</v>
      </c>
      <c r="L106" s="21">
        <v>147</v>
      </c>
      <c r="M106" s="22">
        <v>100</v>
      </c>
      <c r="N106" s="23">
        <v>214.60900000000001</v>
      </c>
      <c r="O106" s="24">
        <v>147</v>
      </c>
      <c r="P106" s="25">
        <v>100</v>
      </c>
      <c r="Q106" s="26">
        <v>16.623999999999999</v>
      </c>
      <c r="R106" s="31">
        <f t="shared" si="2"/>
        <v>0</v>
      </c>
      <c r="S106" s="31">
        <f t="shared" si="3"/>
        <v>0</v>
      </c>
    </row>
    <row r="107" spans="1:19" x14ac:dyDescent="0.25">
      <c r="A107" s="10">
        <v>42</v>
      </c>
      <c r="B107" s="10">
        <v>50</v>
      </c>
      <c r="C107" s="10">
        <v>400</v>
      </c>
      <c r="D107" s="11">
        <v>2</v>
      </c>
      <c r="E107" s="10">
        <v>2</v>
      </c>
      <c r="F107" s="10">
        <v>14</v>
      </c>
      <c r="G107" s="12">
        <v>156</v>
      </c>
      <c r="H107" s="13">
        <v>3.21</v>
      </c>
      <c r="I107" s="12">
        <v>156</v>
      </c>
      <c r="J107" s="14">
        <v>100</v>
      </c>
      <c r="K107" s="28">
        <v>1.1279999999999999</v>
      </c>
      <c r="L107" s="12">
        <v>156</v>
      </c>
      <c r="M107" s="14">
        <v>100</v>
      </c>
      <c r="N107" s="13">
        <v>343.22899999999998</v>
      </c>
      <c r="O107" s="12">
        <v>156</v>
      </c>
      <c r="P107" s="14">
        <v>100</v>
      </c>
      <c r="Q107" s="13">
        <v>17.387</v>
      </c>
      <c r="R107" s="31">
        <f t="shared" si="2"/>
        <v>0</v>
      </c>
      <c r="S107" s="31">
        <f t="shared" si="3"/>
        <v>0</v>
      </c>
    </row>
    <row r="108" spans="1:19" x14ac:dyDescent="0.25">
      <c r="A108" s="15">
        <v>42</v>
      </c>
      <c r="B108" s="15">
        <v>50</v>
      </c>
      <c r="C108" s="15">
        <v>400</v>
      </c>
      <c r="D108" s="16">
        <v>3</v>
      </c>
      <c r="E108" s="15">
        <v>2</v>
      </c>
      <c r="F108" s="15">
        <v>7</v>
      </c>
      <c r="G108" s="17">
        <v>196</v>
      </c>
      <c r="H108" s="18">
        <v>5.15</v>
      </c>
      <c r="I108" s="19">
        <v>187</v>
      </c>
      <c r="J108" s="20">
        <v>95.408000000000001</v>
      </c>
      <c r="K108" s="29">
        <v>2.0960000000000001</v>
      </c>
      <c r="L108" s="21">
        <v>192</v>
      </c>
      <c r="M108" s="22">
        <v>97.959000000000003</v>
      </c>
      <c r="N108" s="23">
        <v>438.35199999999998</v>
      </c>
      <c r="O108" s="24">
        <v>186</v>
      </c>
      <c r="P108" s="25">
        <v>94.897999999999996</v>
      </c>
      <c r="Q108" s="26">
        <v>25.341999999999999</v>
      </c>
      <c r="R108" s="31">
        <f t="shared" si="2"/>
        <v>2.5510000000000019</v>
      </c>
      <c r="S108" s="31">
        <f t="shared" si="3"/>
        <v>-0.51000000000000512</v>
      </c>
    </row>
    <row r="109" spans="1:19" x14ac:dyDescent="0.25">
      <c r="A109" s="10">
        <v>42</v>
      </c>
      <c r="B109" s="10">
        <v>50</v>
      </c>
      <c r="C109" s="10">
        <v>500</v>
      </c>
      <c r="D109" s="11">
        <v>0.5</v>
      </c>
      <c r="E109" s="10">
        <v>6</v>
      </c>
      <c r="F109" s="10">
        <v>17</v>
      </c>
      <c r="G109" s="12">
        <v>209</v>
      </c>
      <c r="H109" s="13">
        <v>9.33</v>
      </c>
      <c r="I109" s="12">
        <v>209</v>
      </c>
      <c r="J109" s="14">
        <v>100</v>
      </c>
      <c r="K109" s="28">
        <v>0.999</v>
      </c>
      <c r="L109" s="12">
        <v>209</v>
      </c>
      <c r="M109" s="14">
        <v>100</v>
      </c>
      <c r="N109" s="13">
        <v>196.48400000000001</v>
      </c>
      <c r="O109" s="12">
        <v>207</v>
      </c>
      <c r="P109" s="14">
        <v>99.043000000000006</v>
      </c>
      <c r="Q109" s="13">
        <v>34.305</v>
      </c>
      <c r="R109" s="31">
        <f t="shared" si="2"/>
        <v>0</v>
      </c>
      <c r="S109" s="31">
        <f t="shared" si="3"/>
        <v>-0.95699999999999363</v>
      </c>
    </row>
    <row r="110" spans="1:19" x14ac:dyDescent="0.25">
      <c r="A110" s="15">
        <v>42</v>
      </c>
      <c r="B110" s="15">
        <v>50</v>
      </c>
      <c r="C110" s="15">
        <v>500</v>
      </c>
      <c r="D110" s="16">
        <v>1</v>
      </c>
      <c r="E110" s="15">
        <v>4</v>
      </c>
      <c r="F110" s="15">
        <v>16</v>
      </c>
      <c r="G110" s="17">
        <v>210</v>
      </c>
      <c r="H110" s="18">
        <v>28.06</v>
      </c>
      <c r="I110" s="19">
        <v>210</v>
      </c>
      <c r="J110" s="20">
        <v>100</v>
      </c>
      <c r="K110" s="29">
        <v>1.196</v>
      </c>
      <c r="L110" s="21">
        <v>210</v>
      </c>
      <c r="M110" s="22">
        <v>100</v>
      </c>
      <c r="N110" s="23">
        <v>252.40100000000001</v>
      </c>
      <c r="O110" s="24">
        <v>210</v>
      </c>
      <c r="P110" s="25">
        <v>100</v>
      </c>
      <c r="Q110" s="26">
        <v>30.234000000000002</v>
      </c>
      <c r="R110" s="31">
        <f t="shared" si="2"/>
        <v>0</v>
      </c>
      <c r="S110" s="31">
        <f t="shared" si="3"/>
        <v>0</v>
      </c>
    </row>
    <row r="111" spans="1:19" x14ac:dyDescent="0.25">
      <c r="A111" s="10">
        <v>42</v>
      </c>
      <c r="B111" s="10">
        <v>50</v>
      </c>
      <c r="C111" s="10">
        <v>500</v>
      </c>
      <c r="D111" s="11">
        <v>2</v>
      </c>
      <c r="E111" s="10">
        <v>2</v>
      </c>
      <c r="F111" s="10">
        <v>15</v>
      </c>
      <c r="G111" s="12">
        <v>193</v>
      </c>
      <c r="H111" s="13">
        <v>4.51</v>
      </c>
      <c r="I111" s="12">
        <v>193</v>
      </c>
      <c r="J111" s="14">
        <v>100</v>
      </c>
      <c r="K111" s="28">
        <v>2.1480000000000001</v>
      </c>
      <c r="L111" s="12">
        <v>193</v>
      </c>
      <c r="M111" s="14">
        <v>100</v>
      </c>
      <c r="N111" s="13">
        <v>494.512</v>
      </c>
      <c r="O111" s="12">
        <v>193</v>
      </c>
      <c r="P111" s="14">
        <v>100</v>
      </c>
      <c r="Q111" s="13">
        <v>22.872</v>
      </c>
      <c r="R111" s="31">
        <f t="shared" si="2"/>
        <v>0</v>
      </c>
      <c r="S111" s="31">
        <f t="shared" si="3"/>
        <v>0</v>
      </c>
    </row>
    <row r="112" spans="1:19" x14ac:dyDescent="0.25">
      <c r="A112" s="15">
        <v>42</v>
      </c>
      <c r="B112" s="15">
        <v>50</v>
      </c>
      <c r="C112" s="15">
        <v>500</v>
      </c>
      <c r="D112" s="16">
        <v>3</v>
      </c>
      <c r="E112" s="15">
        <v>2</v>
      </c>
      <c r="F112" s="15">
        <v>10</v>
      </c>
      <c r="G112" s="17">
        <v>243</v>
      </c>
      <c r="H112" s="18">
        <v>5.97</v>
      </c>
      <c r="I112" s="19">
        <v>237</v>
      </c>
      <c r="J112" s="20">
        <v>97.531000000000006</v>
      </c>
      <c r="K112" s="29">
        <v>4.2389999999999999</v>
      </c>
      <c r="L112" s="21">
        <v>243</v>
      </c>
      <c r="M112" s="22">
        <v>100</v>
      </c>
      <c r="N112" s="23">
        <v>636.91999999999996</v>
      </c>
      <c r="O112" s="24">
        <v>238</v>
      </c>
      <c r="P112" s="25">
        <v>97.941999999999993</v>
      </c>
      <c r="Q112" s="26">
        <v>32.244</v>
      </c>
      <c r="R112" s="31">
        <f t="shared" si="2"/>
        <v>2.4689999999999941</v>
      </c>
      <c r="S112" s="31">
        <f t="shared" si="3"/>
        <v>0.41099999999998715</v>
      </c>
    </row>
    <row r="113" spans="1:19" x14ac:dyDescent="0.25">
      <c r="A113" s="10">
        <v>42</v>
      </c>
      <c r="B113" s="10">
        <v>50</v>
      </c>
      <c r="C113" s="10">
        <v>1000</v>
      </c>
      <c r="D113" s="11">
        <v>0.5</v>
      </c>
      <c r="E113" s="10">
        <v>4</v>
      </c>
      <c r="F113" s="10">
        <v>28</v>
      </c>
      <c r="G113" s="12">
        <v>299</v>
      </c>
      <c r="H113" s="13">
        <v>52.57</v>
      </c>
      <c r="I113" s="12">
        <v>299</v>
      </c>
      <c r="J113" s="14">
        <v>100</v>
      </c>
      <c r="K113" s="28">
        <v>4.4470000000000001</v>
      </c>
      <c r="L113" s="12">
        <v>299</v>
      </c>
      <c r="M113" s="14">
        <v>100</v>
      </c>
      <c r="N113" s="13">
        <v>534.25699999999995</v>
      </c>
      <c r="O113" s="12">
        <v>299</v>
      </c>
      <c r="P113" s="14">
        <v>100</v>
      </c>
      <c r="Q113" s="13">
        <v>60.542999999999999</v>
      </c>
      <c r="R113" s="31">
        <f t="shared" si="2"/>
        <v>0</v>
      </c>
      <c r="S113" s="31">
        <f t="shared" si="3"/>
        <v>0</v>
      </c>
    </row>
    <row r="114" spans="1:19" x14ac:dyDescent="0.25">
      <c r="A114" s="15">
        <v>42</v>
      </c>
      <c r="B114" s="15">
        <v>50</v>
      </c>
      <c r="C114" s="15">
        <v>1000</v>
      </c>
      <c r="D114" s="16">
        <v>1</v>
      </c>
      <c r="E114" s="15">
        <v>3</v>
      </c>
      <c r="F114" s="15">
        <v>26</v>
      </c>
      <c r="G114" s="17">
        <v>349</v>
      </c>
      <c r="H114" s="18">
        <v>24.37</v>
      </c>
      <c r="I114" s="19">
        <v>348</v>
      </c>
      <c r="J114" s="20">
        <v>99.712999999999994</v>
      </c>
      <c r="K114" s="29">
        <v>7.101</v>
      </c>
      <c r="L114" s="21">
        <v>349</v>
      </c>
      <c r="M114" s="22">
        <v>100</v>
      </c>
      <c r="N114" s="23">
        <v>801.63099999999997</v>
      </c>
      <c r="O114" s="24">
        <v>349</v>
      </c>
      <c r="P114" s="25">
        <v>100</v>
      </c>
      <c r="Q114" s="26">
        <v>72.605999999999995</v>
      </c>
      <c r="R114" s="31">
        <f t="shared" si="2"/>
        <v>0.28700000000000614</v>
      </c>
      <c r="S114" s="31">
        <f t="shared" si="3"/>
        <v>0.28700000000000614</v>
      </c>
    </row>
    <row r="115" spans="1:19" x14ac:dyDescent="0.25">
      <c r="A115" s="10">
        <v>42</v>
      </c>
      <c r="B115" s="10">
        <v>50</v>
      </c>
      <c r="C115" s="10">
        <v>1000</v>
      </c>
      <c r="D115" s="11">
        <v>2</v>
      </c>
      <c r="E115" s="10">
        <v>3</v>
      </c>
      <c r="F115" s="10">
        <v>11</v>
      </c>
      <c r="G115" s="12">
        <v>509</v>
      </c>
      <c r="H115" s="13">
        <v>43.32</v>
      </c>
      <c r="I115" s="12">
        <v>494</v>
      </c>
      <c r="J115" s="14">
        <v>97.052999999999997</v>
      </c>
      <c r="K115" s="28">
        <v>16.733000000000001</v>
      </c>
      <c r="L115" s="12">
        <v>500</v>
      </c>
      <c r="M115" s="14">
        <v>98.231999999999999</v>
      </c>
      <c r="N115" s="13">
        <v>1063.7190000000001</v>
      </c>
      <c r="O115" s="12">
        <v>505</v>
      </c>
      <c r="P115" s="14">
        <v>99.213999999999999</v>
      </c>
      <c r="Q115" s="13">
        <v>191.155</v>
      </c>
      <c r="R115" s="31">
        <f t="shared" si="2"/>
        <v>1.179000000000002</v>
      </c>
      <c r="S115" s="31">
        <f t="shared" si="3"/>
        <v>2.1610000000000014</v>
      </c>
    </row>
    <row r="116" spans="1:19" x14ac:dyDescent="0.25">
      <c r="A116" s="15">
        <v>42</v>
      </c>
      <c r="B116" s="15">
        <v>50</v>
      </c>
      <c r="C116" s="15">
        <v>1000</v>
      </c>
      <c r="D116" s="16">
        <v>3</v>
      </c>
      <c r="E116" s="15">
        <v>2</v>
      </c>
      <c r="F116" s="15">
        <v>20</v>
      </c>
      <c r="G116" s="17">
        <v>495</v>
      </c>
      <c r="H116" s="18">
        <v>17.12</v>
      </c>
      <c r="I116" s="19">
        <v>495</v>
      </c>
      <c r="J116" s="20">
        <v>100</v>
      </c>
      <c r="K116" s="29">
        <v>40.125</v>
      </c>
      <c r="L116" s="21">
        <v>495</v>
      </c>
      <c r="M116" s="22">
        <v>100</v>
      </c>
      <c r="N116" s="23">
        <v>2192.2109999999998</v>
      </c>
      <c r="O116" s="24">
        <v>495</v>
      </c>
      <c r="P116" s="25">
        <v>100</v>
      </c>
      <c r="Q116" s="26">
        <v>64.266000000000005</v>
      </c>
      <c r="R116" s="31">
        <f t="shared" si="2"/>
        <v>0</v>
      </c>
      <c r="S116" s="31">
        <f t="shared" si="3"/>
        <v>0</v>
      </c>
    </row>
    <row r="117" spans="1:19" x14ac:dyDescent="0.25">
      <c r="Q117" s="38" t="s">
        <v>17</v>
      </c>
      <c r="R117" s="39">
        <f>AVERAGE(R3:R116)</f>
        <v>1.3279122807017545</v>
      </c>
      <c r="S117" s="39">
        <f>AVERAGE(S3:S116)</f>
        <v>1.7954210526315781</v>
      </c>
    </row>
    <row r="118" spans="1:19" x14ac:dyDescent="0.25">
      <c r="A118" s="27"/>
    </row>
  </sheetData>
  <mergeCells count="6">
    <mergeCell ref="R1:S1"/>
    <mergeCell ref="L1:N1"/>
    <mergeCell ref="O1:Q1"/>
    <mergeCell ref="G1:H1"/>
    <mergeCell ref="A1:F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2"/>
  <sheetViews>
    <sheetView tabSelected="1" topLeftCell="E1" workbookViewId="0">
      <pane ySplit="2" topLeftCell="A36" activePane="bottomLeft" state="frozen"/>
      <selection pane="bottomLeft" activeCell="S38" sqref="S38"/>
    </sheetView>
  </sheetViews>
  <sheetFormatPr defaultRowHeight="15" x14ac:dyDescent="0.25"/>
  <cols>
    <col min="1" max="2" width="5" customWidth="1"/>
    <col min="3" max="4" width="6" customWidth="1"/>
    <col min="5" max="6" width="5" customWidth="1"/>
    <col min="7" max="7" width="8" customWidth="1"/>
    <col min="8" max="8" width="9" customWidth="1"/>
    <col min="9" max="9" width="8" customWidth="1"/>
    <col min="10" max="11" width="9" customWidth="1"/>
    <col min="12" max="12" width="8" customWidth="1"/>
    <col min="13" max="14" width="9" customWidth="1"/>
    <col min="15" max="15" width="8" customWidth="1"/>
    <col min="16" max="17" width="9" customWidth="1"/>
  </cols>
  <sheetData>
    <row r="1" spans="1:19" ht="21.95" customHeight="1" x14ac:dyDescent="0.25">
      <c r="A1" s="36" t="s">
        <v>0</v>
      </c>
      <c r="B1" s="33"/>
      <c r="C1" s="33"/>
      <c r="D1" s="33"/>
      <c r="E1" s="33"/>
      <c r="F1" s="33"/>
      <c r="G1" s="35" t="s">
        <v>1</v>
      </c>
      <c r="H1" s="33"/>
      <c r="I1" s="37" t="s">
        <v>2</v>
      </c>
      <c r="J1" s="33"/>
      <c r="K1" s="33"/>
      <c r="L1" s="32" t="s">
        <v>3</v>
      </c>
      <c r="M1" s="33"/>
      <c r="N1" s="33"/>
      <c r="O1" s="34" t="s">
        <v>4</v>
      </c>
      <c r="P1" s="33"/>
      <c r="Q1" s="33"/>
      <c r="R1" s="40" t="s">
        <v>14</v>
      </c>
      <c r="S1" s="40"/>
    </row>
    <row r="2" spans="1:19" ht="30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3" t="s">
        <v>12</v>
      </c>
      <c r="I2" s="4" t="s">
        <v>11</v>
      </c>
      <c r="J2" s="4" t="s">
        <v>13</v>
      </c>
      <c r="K2" s="5" t="s">
        <v>12</v>
      </c>
      <c r="L2" s="6" t="s">
        <v>11</v>
      </c>
      <c r="M2" s="6" t="s">
        <v>13</v>
      </c>
      <c r="N2" s="7" t="s">
        <v>12</v>
      </c>
      <c r="O2" s="8" t="s">
        <v>11</v>
      </c>
      <c r="P2" s="8" t="s">
        <v>13</v>
      </c>
      <c r="Q2" s="9" t="s">
        <v>12</v>
      </c>
      <c r="R2" s="30" t="s">
        <v>15</v>
      </c>
      <c r="S2" s="30" t="s">
        <v>16</v>
      </c>
    </row>
    <row r="3" spans="1:19" x14ac:dyDescent="0.25">
      <c r="A3" s="10">
        <v>10</v>
      </c>
      <c r="B3" s="10">
        <v>12</v>
      </c>
      <c r="C3" s="10">
        <v>10</v>
      </c>
      <c r="D3" s="11">
        <v>0.5</v>
      </c>
      <c r="E3" s="10">
        <v>2</v>
      </c>
      <c r="F3" s="10">
        <v>2</v>
      </c>
      <c r="G3" s="12">
        <v>6</v>
      </c>
      <c r="H3" s="13">
        <v>0.06</v>
      </c>
      <c r="I3" s="12">
        <v>6</v>
      </c>
      <c r="J3" s="14">
        <v>100</v>
      </c>
      <c r="K3" s="28">
        <v>3.0000000000000001E-3</v>
      </c>
      <c r="L3" s="12">
        <v>6</v>
      </c>
      <c r="M3" s="14">
        <v>100</v>
      </c>
      <c r="N3" s="13">
        <v>3.7629999999999999</v>
      </c>
      <c r="O3" s="12">
        <v>6</v>
      </c>
      <c r="P3" s="14">
        <v>100</v>
      </c>
      <c r="Q3" s="13">
        <v>0.999</v>
      </c>
      <c r="R3" s="31">
        <f>M3-J3</f>
        <v>0</v>
      </c>
      <c r="S3" s="31">
        <f>P3-J3</f>
        <v>0</v>
      </c>
    </row>
    <row r="4" spans="1:19" x14ac:dyDescent="0.25">
      <c r="A4" s="15">
        <v>10</v>
      </c>
      <c r="B4" s="15">
        <v>12</v>
      </c>
      <c r="C4" s="15">
        <v>10</v>
      </c>
      <c r="D4" s="16">
        <v>1</v>
      </c>
      <c r="E4" s="15">
        <v>2</v>
      </c>
      <c r="F4" s="15">
        <v>1</v>
      </c>
      <c r="G4" s="17">
        <v>9</v>
      </c>
      <c r="H4" s="18">
        <v>0.05</v>
      </c>
      <c r="I4" s="19">
        <v>8</v>
      </c>
      <c r="J4" s="20">
        <v>88.888999999999996</v>
      </c>
      <c r="K4" s="29">
        <v>1E-3</v>
      </c>
      <c r="L4" s="21">
        <v>9</v>
      </c>
      <c r="M4" s="22">
        <v>100</v>
      </c>
      <c r="N4" s="23">
        <v>5.0090000000000003</v>
      </c>
      <c r="O4" s="24">
        <v>9</v>
      </c>
      <c r="P4" s="25">
        <v>100</v>
      </c>
      <c r="Q4" s="26">
        <v>1.5069999999999999</v>
      </c>
      <c r="R4" s="31">
        <f t="shared" ref="R4:R60" si="0">M4-J4</f>
        <v>11.111000000000004</v>
      </c>
      <c r="S4" s="31">
        <f t="shared" ref="S4:S60" si="1">P4-J4</f>
        <v>11.111000000000004</v>
      </c>
    </row>
    <row r="5" spans="1:19" x14ac:dyDescent="0.25">
      <c r="A5" s="10">
        <v>10</v>
      </c>
      <c r="B5" s="10">
        <v>12</v>
      </c>
      <c r="C5" s="10">
        <v>10</v>
      </c>
      <c r="D5" s="11">
        <v>2</v>
      </c>
      <c r="E5" s="10">
        <v>1</v>
      </c>
      <c r="F5" s="10">
        <v>1</v>
      </c>
      <c r="G5" s="12">
        <v>8</v>
      </c>
      <c r="H5" s="13">
        <v>7.0000000000000007E-2</v>
      </c>
      <c r="I5" s="12">
        <v>8</v>
      </c>
      <c r="J5" s="14">
        <v>100</v>
      </c>
      <c r="K5" s="28">
        <v>1E-3</v>
      </c>
      <c r="L5" s="12">
        <v>8</v>
      </c>
      <c r="M5" s="14">
        <v>100</v>
      </c>
      <c r="N5" s="13">
        <v>6.5389999999999997</v>
      </c>
      <c r="O5" s="12">
        <v>8</v>
      </c>
      <c r="P5" s="14">
        <v>100</v>
      </c>
      <c r="Q5" s="13">
        <v>0.64100000000000001</v>
      </c>
      <c r="R5" s="31">
        <f t="shared" si="0"/>
        <v>0</v>
      </c>
      <c r="S5" s="31">
        <f t="shared" si="1"/>
        <v>0</v>
      </c>
    </row>
    <row r="6" spans="1:19" x14ac:dyDescent="0.25">
      <c r="A6" s="15">
        <v>10</v>
      </c>
      <c r="B6" s="15">
        <v>12</v>
      </c>
      <c r="C6" s="15">
        <v>20</v>
      </c>
      <c r="D6" s="16">
        <v>0.5</v>
      </c>
      <c r="E6" s="15">
        <v>4</v>
      </c>
      <c r="F6" s="15">
        <v>1</v>
      </c>
      <c r="G6" s="17">
        <v>17</v>
      </c>
      <c r="H6" s="18">
        <v>0.08</v>
      </c>
      <c r="I6" s="19">
        <v>16</v>
      </c>
      <c r="J6" s="20">
        <v>94.117999999999995</v>
      </c>
      <c r="K6" s="29">
        <v>4.0000000000000001E-3</v>
      </c>
      <c r="L6" s="21">
        <v>16</v>
      </c>
      <c r="M6" s="22">
        <v>94.117999999999995</v>
      </c>
      <c r="N6" s="23">
        <v>6.9930000000000003</v>
      </c>
      <c r="O6" s="24">
        <v>17</v>
      </c>
      <c r="P6" s="25">
        <v>100</v>
      </c>
      <c r="Q6" s="26">
        <v>5.1970000000000001</v>
      </c>
      <c r="R6" s="31">
        <f t="shared" si="0"/>
        <v>0</v>
      </c>
      <c r="S6" s="31">
        <f t="shared" si="1"/>
        <v>5.882000000000005</v>
      </c>
    </row>
    <row r="7" spans="1:19" x14ac:dyDescent="0.25">
      <c r="A7" s="10">
        <v>10</v>
      </c>
      <c r="B7" s="10">
        <v>12</v>
      </c>
      <c r="C7" s="10">
        <v>20</v>
      </c>
      <c r="D7" s="11">
        <v>1</v>
      </c>
      <c r="E7" s="10">
        <v>2</v>
      </c>
      <c r="F7" s="10">
        <v>1</v>
      </c>
      <c r="G7" s="12">
        <v>13</v>
      </c>
      <c r="H7" s="13">
        <v>0.09</v>
      </c>
      <c r="I7" s="12">
        <v>13</v>
      </c>
      <c r="J7" s="14">
        <v>100</v>
      </c>
      <c r="K7" s="28">
        <v>4.0000000000000001E-3</v>
      </c>
      <c r="L7" s="12">
        <v>13</v>
      </c>
      <c r="M7" s="14">
        <v>100</v>
      </c>
      <c r="N7" s="13">
        <v>9.7929999999999993</v>
      </c>
      <c r="O7" s="12">
        <v>13</v>
      </c>
      <c r="P7" s="14">
        <v>100</v>
      </c>
      <c r="Q7" s="13">
        <v>1.56</v>
      </c>
      <c r="R7" s="31">
        <f t="shared" si="0"/>
        <v>0</v>
      </c>
      <c r="S7" s="31">
        <f t="shared" si="1"/>
        <v>0</v>
      </c>
    </row>
    <row r="8" spans="1:19" x14ac:dyDescent="0.25">
      <c r="A8" s="15">
        <v>10</v>
      </c>
      <c r="B8" s="15">
        <v>12</v>
      </c>
      <c r="C8" s="15">
        <v>20</v>
      </c>
      <c r="D8" s="16">
        <v>2</v>
      </c>
      <c r="E8" s="15">
        <v>1</v>
      </c>
      <c r="F8" s="15">
        <v>1</v>
      </c>
      <c r="G8" s="17">
        <v>16</v>
      </c>
      <c r="H8" s="18">
        <v>0.09</v>
      </c>
      <c r="I8" s="19">
        <v>16</v>
      </c>
      <c r="J8" s="20">
        <v>100</v>
      </c>
      <c r="K8" s="29">
        <v>3.0000000000000001E-3</v>
      </c>
      <c r="L8" s="21">
        <v>16</v>
      </c>
      <c r="M8" s="22">
        <v>100</v>
      </c>
      <c r="N8" s="23">
        <v>11.843999999999999</v>
      </c>
      <c r="O8" s="24">
        <v>16</v>
      </c>
      <c r="P8" s="25">
        <v>100</v>
      </c>
      <c r="Q8" s="26">
        <v>0.83899999999999997</v>
      </c>
      <c r="R8" s="31">
        <f t="shared" si="0"/>
        <v>0</v>
      </c>
      <c r="S8" s="31">
        <f t="shared" si="1"/>
        <v>0</v>
      </c>
    </row>
    <row r="9" spans="1:19" x14ac:dyDescent="0.25">
      <c r="A9" s="10">
        <v>10</v>
      </c>
      <c r="B9" s="10">
        <v>12</v>
      </c>
      <c r="C9" s="10">
        <v>25</v>
      </c>
      <c r="D9" s="11">
        <v>0.5</v>
      </c>
      <c r="E9" s="10">
        <v>4</v>
      </c>
      <c r="F9" s="10">
        <v>1</v>
      </c>
      <c r="G9" s="12">
        <v>19</v>
      </c>
      <c r="H9" s="13">
        <v>0.09</v>
      </c>
      <c r="I9" s="12">
        <v>19</v>
      </c>
      <c r="J9" s="14">
        <v>100</v>
      </c>
      <c r="K9" s="28">
        <v>4.0000000000000001E-3</v>
      </c>
      <c r="L9" s="12">
        <v>19</v>
      </c>
      <c r="M9" s="14">
        <v>100</v>
      </c>
      <c r="N9" s="13">
        <v>8.7919999999999998</v>
      </c>
      <c r="O9" s="12">
        <v>19</v>
      </c>
      <c r="P9" s="14">
        <v>100</v>
      </c>
      <c r="Q9" s="13">
        <v>3.9409999999999998</v>
      </c>
      <c r="R9" s="31">
        <f t="shared" si="0"/>
        <v>0</v>
      </c>
      <c r="S9" s="31">
        <f t="shared" si="1"/>
        <v>0</v>
      </c>
    </row>
    <row r="10" spans="1:19" x14ac:dyDescent="0.25">
      <c r="A10" s="15">
        <v>10</v>
      </c>
      <c r="B10" s="15">
        <v>12</v>
      </c>
      <c r="C10" s="15">
        <v>25</v>
      </c>
      <c r="D10" s="16">
        <v>1</v>
      </c>
      <c r="E10" s="15">
        <v>3</v>
      </c>
      <c r="F10" s="15">
        <v>1</v>
      </c>
      <c r="G10" s="17">
        <v>17</v>
      </c>
      <c r="H10" s="18">
        <v>0.12</v>
      </c>
      <c r="I10" s="19">
        <v>17</v>
      </c>
      <c r="J10" s="20">
        <v>100</v>
      </c>
      <c r="K10" s="29">
        <v>6.0000000000000001E-3</v>
      </c>
      <c r="L10" s="21">
        <v>17</v>
      </c>
      <c r="M10" s="22">
        <v>100</v>
      </c>
      <c r="N10" s="23">
        <v>10.679</v>
      </c>
      <c r="O10" s="24">
        <v>17</v>
      </c>
      <c r="P10" s="25">
        <v>100</v>
      </c>
      <c r="Q10" s="26">
        <v>2.6850000000000001</v>
      </c>
      <c r="R10" s="31">
        <f t="shared" si="0"/>
        <v>0</v>
      </c>
      <c r="S10" s="31">
        <f t="shared" si="1"/>
        <v>0</v>
      </c>
    </row>
    <row r="11" spans="1:19" x14ac:dyDescent="0.25">
      <c r="A11" s="10">
        <v>10</v>
      </c>
      <c r="B11" s="10">
        <v>12</v>
      </c>
      <c r="C11" s="10">
        <v>25</v>
      </c>
      <c r="D11" s="11">
        <v>2</v>
      </c>
      <c r="E11" s="10">
        <v>2</v>
      </c>
      <c r="F11" s="10">
        <v>1</v>
      </c>
      <c r="G11" s="12">
        <v>22</v>
      </c>
      <c r="H11" s="13">
        <v>0.15</v>
      </c>
      <c r="I11" s="12">
        <v>22</v>
      </c>
      <c r="J11" s="14">
        <v>100</v>
      </c>
      <c r="K11" s="28">
        <v>5.0000000000000001E-3</v>
      </c>
      <c r="L11" s="12">
        <v>22</v>
      </c>
      <c r="M11" s="14">
        <v>100</v>
      </c>
      <c r="N11" s="13">
        <v>15.51</v>
      </c>
      <c r="O11" s="12">
        <v>22</v>
      </c>
      <c r="P11" s="14">
        <v>100</v>
      </c>
      <c r="Q11" s="13">
        <v>2.2959999999999998</v>
      </c>
      <c r="R11" s="31">
        <f t="shared" si="0"/>
        <v>0</v>
      </c>
      <c r="S11" s="31">
        <f t="shared" si="1"/>
        <v>0</v>
      </c>
    </row>
    <row r="12" spans="1:19" x14ac:dyDescent="0.25">
      <c r="A12" s="15">
        <v>10</v>
      </c>
      <c r="B12" s="15">
        <v>12</v>
      </c>
      <c r="C12" s="15">
        <v>50</v>
      </c>
      <c r="D12" s="16">
        <v>0.5</v>
      </c>
      <c r="E12" s="15">
        <v>6</v>
      </c>
      <c r="F12" s="15">
        <v>1</v>
      </c>
      <c r="G12" s="17">
        <v>33</v>
      </c>
      <c r="H12" s="18">
        <v>0.21</v>
      </c>
      <c r="I12" s="19">
        <v>32</v>
      </c>
      <c r="J12" s="20">
        <v>96.97</v>
      </c>
      <c r="K12" s="29">
        <v>1.2999999999999999E-2</v>
      </c>
      <c r="L12" s="21">
        <v>32</v>
      </c>
      <c r="M12" s="22">
        <v>96.97</v>
      </c>
      <c r="N12" s="23">
        <v>16.416</v>
      </c>
      <c r="O12" s="24">
        <v>33</v>
      </c>
      <c r="P12" s="25">
        <v>100</v>
      </c>
      <c r="Q12" s="26">
        <v>9.5649999999999995</v>
      </c>
      <c r="R12" s="31">
        <f t="shared" si="0"/>
        <v>0</v>
      </c>
      <c r="S12" s="31">
        <f t="shared" si="1"/>
        <v>3.0300000000000011</v>
      </c>
    </row>
    <row r="13" spans="1:19" x14ac:dyDescent="0.25">
      <c r="A13" s="10">
        <v>25</v>
      </c>
      <c r="B13" s="10">
        <v>30</v>
      </c>
      <c r="C13" s="10">
        <v>10</v>
      </c>
      <c r="D13" s="11">
        <v>2</v>
      </c>
      <c r="E13" s="10">
        <v>2</v>
      </c>
      <c r="F13" s="10">
        <v>2</v>
      </c>
      <c r="G13" s="12">
        <v>8</v>
      </c>
      <c r="H13" s="13">
        <v>0.05</v>
      </c>
      <c r="I13" s="12">
        <v>7</v>
      </c>
      <c r="J13" s="14">
        <v>87.5</v>
      </c>
      <c r="K13" s="28">
        <v>2E-3</v>
      </c>
      <c r="L13" s="12">
        <v>8</v>
      </c>
      <c r="M13" s="14">
        <v>100</v>
      </c>
      <c r="N13" s="13">
        <v>4.6959999999999997</v>
      </c>
      <c r="O13" s="12">
        <v>8</v>
      </c>
      <c r="P13" s="14">
        <v>100</v>
      </c>
      <c r="Q13" s="13">
        <v>1.274</v>
      </c>
      <c r="R13" s="31">
        <f t="shared" si="0"/>
        <v>12.5</v>
      </c>
      <c r="S13" s="31">
        <f t="shared" si="1"/>
        <v>12.5</v>
      </c>
    </row>
    <row r="14" spans="1:19" x14ac:dyDescent="0.25">
      <c r="A14" s="15">
        <v>25</v>
      </c>
      <c r="B14" s="15">
        <v>30</v>
      </c>
      <c r="C14" s="15">
        <v>25</v>
      </c>
      <c r="D14" s="16">
        <v>1</v>
      </c>
      <c r="E14" s="15">
        <v>4</v>
      </c>
      <c r="F14" s="15">
        <v>1</v>
      </c>
      <c r="G14" s="17">
        <v>13</v>
      </c>
      <c r="H14" s="18">
        <v>0.1</v>
      </c>
      <c r="I14" s="19">
        <v>13</v>
      </c>
      <c r="J14" s="20">
        <v>100</v>
      </c>
      <c r="K14" s="29">
        <v>7.0000000000000001E-3</v>
      </c>
      <c r="L14" s="21">
        <v>13</v>
      </c>
      <c r="M14" s="22">
        <v>100</v>
      </c>
      <c r="N14" s="23">
        <v>6.7510000000000003</v>
      </c>
      <c r="O14" s="24">
        <v>13</v>
      </c>
      <c r="P14" s="25">
        <v>100</v>
      </c>
      <c r="Q14" s="26">
        <v>3.4350000000000001</v>
      </c>
      <c r="R14" s="31">
        <f t="shared" si="0"/>
        <v>0</v>
      </c>
      <c r="S14" s="31">
        <f t="shared" si="1"/>
        <v>0</v>
      </c>
    </row>
    <row r="15" spans="1:19" x14ac:dyDescent="0.25">
      <c r="A15" s="10">
        <v>25</v>
      </c>
      <c r="B15" s="10">
        <v>30</v>
      </c>
      <c r="C15" s="10">
        <v>25</v>
      </c>
      <c r="D15" s="11">
        <v>2</v>
      </c>
      <c r="E15" s="10">
        <v>4</v>
      </c>
      <c r="F15" s="10">
        <v>1</v>
      </c>
      <c r="G15" s="12">
        <v>17</v>
      </c>
      <c r="H15" s="13">
        <v>0.1</v>
      </c>
      <c r="I15" s="12">
        <v>16</v>
      </c>
      <c r="J15" s="14">
        <v>94.117999999999995</v>
      </c>
      <c r="K15" s="28">
        <v>4.0000000000000001E-3</v>
      </c>
      <c r="L15" s="12">
        <v>17</v>
      </c>
      <c r="M15" s="14">
        <v>100</v>
      </c>
      <c r="N15" s="13">
        <v>9.9190000000000005</v>
      </c>
      <c r="O15" s="12">
        <v>17</v>
      </c>
      <c r="P15" s="14">
        <v>100</v>
      </c>
      <c r="Q15" s="13">
        <v>4.3079999999999998</v>
      </c>
      <c r="R15" s="31">
        <f t="shared" si="0"/>
        <v>5.882000000000005</v>
      </c>
      <c r="S15" s="31">
        <f t="shared" si="1"/>
        <v>5.882000000000005</v>
      </c>
    </row>
    <row r="16" spans="1:19" x14ac:dyDescent="0.25">
      <c r="A16" s="15">
        <v>25</v>
      </c>
      <c r="B16" s="15">
        <v>30</v>
      </c>
      <c r="C16" s="15">
        <v>25</v>
      </c>
      <c r="D16" s="16">
        <v>3</v>
      </c>
      <c r="E16" s="15">
        <v>2</v>
      </c>
      <c r="F16" s="15">
        <v>2</v>
      </c>
      <c r="G16" s="17">
        <v>14</v>
      </c>
      <c r="H16" s="18">
        <v>0.1</v>
      </c>
      <c r="I16" s="19">
        <v>13</v>
      </c>
      <c r="J16" s="20">
        <v>92.856999999999999</v>
      </c>
      <c r="K16" s="29">
        <v>7.0000000000000001E-3</v>
      </c>
      <c r="L16" s="21">
        <v>14</v>
      </c>
      <c r="M16" s="22">
        <v>100</v>
      </c>
      <c r="N16" s="23">
        <v>9.4469999999999992</v>
      </c>
      <c r="O16" s="24">
        <v>14</v>
      </c>
      <c r="P16" s="25">
        <v>100</v>
      </c>
      <c r="Q16" s="26">
        <v>1.7030000000000001</v>
      </c>
      <c r="R16" s="31">
        <f t="shared" si="0"/>
        <v>7.1430000000000007</v>
      </c>
      <c r="S16" s="31">
        <f t="shared" si="1"/>
        <v>7.1430000000000007</v>
      </c>
    </row>
    <row r="17" spans="1:19" x14ac:dyDescent="0.25">
      <c r="A17" s="10">
        <v>25</v>
      </c>
      <c r="B17" s="10">
        <v>30</v>
      </c>
      <c r="C17" s="10">
        <v>50</v>
      </c>
      <c r="D17" s="11">
        <v>1</v>
      </c>
      <c r="E17" s="10">
        <v>7</v>
      </c>
      <c r="F17" s="10">
        <v>1</v>
      </c>
      <c r="G17" s="12">
        <v>28</v>
      </c>
      <c r="H17" s="13">
        <v>0.17</v>
      </c>
      <c r="I17" s="12">
        <v>26</v>
      </c>
      <c r="J17" s="14">
        <v>92.856999999999999</v>
      </c>
      <c r="K17" s="28">
        <v>1.2999999999999999E-2</v>
      </c>
      <c r="L17" s="12">
        <v>28</v>
      </c>
      <c r="M17" s="14">
        <v>100</v>
      </c>
      <c r="N17" s="13">
        <v>12.846</v>
      </c>
      <c r="O17" s="12">
        <v>28</v>
      </c>
      <c r="P17" s="14">
        <v>100</v>
      </c>
      <c r="Q17" s="13">
        <v>9.702</v>
      </c>
      <c r="R17" s="31">
        <f t="shared" si="0"/>
        <v>7.1430000000000007</v>
      </c>
      <c r="S17" s="31">
        <f t="shared" si="1"/>
        <v>7.1430000000000007</v>
      </c>
    </row>
    <row r="18" spans="1:19" x14ac:dyDescent="0.25">
      <c r="A18" s="15">
        <v>25</v>
      </c>
      <c r="B18" s="15">
        <v>30</v>
      </c>
      <c r="C18" s="15">
        <v>50</v>
      </c>
      <c r="D18" s="16">
        <v>2</v>
      </c>
      <c r="E18" s="15">
        <v>4</v>
      </c>
      <c r="F18" s="15">
        <v>2</v>
      </c>
      <c r="G18" s="17">
        <v>37</v>
      </c>
      <c r="H18" s="18">
        <v>0.2</v>
      </c>
      <c r="I18" s="19">
        <v>35</v>
      </c>
      <c r="J18" s="20">
        <v>94.594999999999999</v>
      </c>
      <c r="K18" s="29">
        <v>1.2999999999999999E-2</v>
      </c>
      <c r="L18" s="21">
        <v>36</v>
      </c>
      <c r="M18" s="22">
        <v>97.296999999999997</v>
      </c>
      <c r="N18" s="23">
        <v>16.087</v>
      </c>
      <c r="O18" s="24">
        <v>36</v>
      </c>
      <c r="P18" s="25">
        <v>97.296999999999997</v>
      </c>
      <c r="Q18" s="26">
        <v>6.1870000000000003</v>
      </c>
      <c r="R18" s="31">
        <f t="shared" si="0"/>
        <v>2.7019999999999982</v>
      </c>
      <c r="S18" s="31">
        <f t="shared" si="1"/>
        <v>2.7019999999999982</v>
      </c>
    </row>
    <row r="19" spans="1:19" x14ac:dyDescent="0.25">
      <c r="A19" s="10">
        <v>25</v>
      </c>
      <c r="B19" s="10">
        <v>30</v>
      </c>
      <c r="C19" s="10">
        <v>50</v>
      </c>
      <c r="D19" s="11">
        <v>3</v>
      </c>
      <c r="E19" s="10">
        <v>4</v>
      </c>
      <c r="F19" s="10">
        <v>1</v>
      </c>
      <c r="G19" s="12">
        <v>41</v>
      </c>
      <c r="H19" s="13">
        <v>0.18</v>
      </c>
      <c r="I19" s="12">
        <v>41</v>
      </c>
      <c r="J19" s="14">
        <v>100</v>
      </c>
      <c r="K19" s="28">
        <v>0.01</v>
      </c>
      <c r="L19" s="12">
        <v>41</v>
      </c>
      <c r="M19" s="14">
        <v>100</v>
      </c>
      <c r="N19" s="13">
        <v>20.442</v>
      </c>
      <c r="O19" s="12">
        <v>41</v>
      </c>
      <c r="P19" s="14">
        <v>100</v>
      </c>
      <c r="Q19" s="13">
        <v>6.6319999999999997</v>
      </c>
      <c r="R19" s="31">
        <f t="shared" si="0"/>
        <v>0</v>
      </c>
      <c r="S19" s="31">
        <f t="shared" si="1"/>
        <v>0</v>
      </c>
    </row>
    <row r="20" spans="1:19" x14ac:dyDescent="0.25">
      <c r="A20" s="15">
        <v>25</v>
      </c>
      <c r="B20" s="15">
        <v>30</v>
      </c>
      <c r="C20" s="15">
        <v>100</v>
      </c>
      <c r="D20" s="16">
        <v>1</v>
      </c>
      <c r="E20" s="15">
        <v>11</v>
      </c>
      <c r="F20" s="15">
        <v>1</v>
      </c>
      <c r="G20" s="17">
        <v>62</v>
      </c>
      <c r="H20" s="18">
        <v>0.28999999999999998</v>
      </c>
      <c r="I20" s="19">
        <v>61</v>
      </c>
      <c r="J20" s="20">
        <v>98.387</v>
      </c>
      <c r="K20" s="29">
        <v>3.2000000000000001E-2</v>
      </c>
      <c r="L20" s="21">
        <v>60</v>
      </c>
      <c r="M20" s="22">
        <v>96.774000000000001</v>
      </c>
      <c r="N20" s="23">
        <v>25.02</v>
      </c>
      <c r="O20" s="24">
        <v>62</v>
      </c>
      <c r="P20" s="25">
        <v>100</v>
      </c>
      <c r="Q20" s="26">
        <v>31.434000000000001</v>
      </c>
      <c r="R20" s="31">
        <f t="shared" si="0"/>
        <v>-1.6129999999999995</v>
      </c>
      <c r="S20" s="31">
        <f t="shared" si="1"/>
        <v>1.6129999999999995</v>
      </c>
    </row>
    <row r="21" spans="1:19" x14ac:dyDescent="0.25">
      <c r="A21" s="10">
        <v>25</v>
      </c>
      <c r="B21" s="10">
        <v>30</v>
      </c>
      <c r="C21" s="10">
        <v>100</v>
      </c>
      <c r="D21" s="11">
        <v>2</v>
      </c>
      <c r="E21" s="10">
        <v>7</v>
      </c>
      <c r="F21" s="10">
        <v>1</v>
      </c>
      <c r="G21" s="12">
        <v>70</v>
      </c>
      <c r="H21" s="13">
        <v>0.39</v>
      </c>
      <c r="I21" s="12">
        <v>66</v>
      </c>
      <c r="J21" s="14">
        <v>94.286000000000001</v>
      </c>
      <c r="K21" s="28">
        <v>3.2000000000000001E-2</v>
      </c>
      <c r="L21" s="12">
        <v>68</v>
      </c>
      <c r="M21" s="14">
        <v>97.143000000000001</v>
      </c>
      <c r="N21" s="13">
        <v>32.725999999999999</v>
      </c>
      <c r="O21" s="12">
        <v>70</v>
      </c>
      <c r="P21" s="14">
        <v>100</v>
      </c>
      <c r="Q21" s="13">
        <v>13.948</v>
      </c>
      <c r="R21" s="31">
        <f t="shared" si="0"/>
        <v>2.8569999999999993</v>
      </c>
      <c r="S21" s="31">
        <f t="shared" si="1"/>
        <v>5.7139999999999986</v>
      </c>
    </row>
    <row r="22" spans="1:19" x14ac:dyDescent="0.25">
      <c r="A22" s="15">
        <v>25</v>
      </c>
      <c r="B22" s="15">
        <v>30</v>
      </c>
      <c r="C22" s="15">
        <v>100</v>
      </c>
      <c r="D22" s="16">
        <v>3</v>
      </c>
      <c r="E22" s="15">
        <v>3</v>
      </c>
      <c r="F22" s="15">
        <v>2</v>
      </c>
      <c r="G22" s="17">
        <v>77</v>
      </c>
      <c r="H22" s="18">
        <v>0.65</v>
      </c>
      <c r="I22" s="19">
        <v>72</v>
      </c>
      <c r="J22" s="20">
        <v>93.506</v>
      </c>
      <c r="K22" s="29">
        <v>3.6999999999999998E-2</v>
      </c>
      <c r="L22" s="21">
        <v>76</v>
      </c>
      <c r="M22" s="22">
        <v>98.700999999999993</v>
      </c>
      <c r="N22" s="23">
        <v>43.994999999999997</v>
      </c>
      <c r="O22" s="24">
        <v>77</v>
      </c>
      <c r="P22" s="25">
        <v>100</v>
      </c>
      <c r="Q22" s="26">
        <v>8.18</v>
      </c>
      <c r="R22" s="31">
        <f t="shared" si="0"/>
        <v>5.1949999999999932</v>
      </c>
      <c r="S22" s="31">
        <f t="shared" si="1"/>
        <v>6.4939999999999998</v>
      </c>
    </row>
    <row r="23" spans="1:19" x14ac:dyDescent="0.25">
      <c r="A23" s="10">
        <v>25</v>
      </c>
      <c r="B23" s="10">
        <v>30</v>
      </c>
      <c r="C23" s="10">
        <v>200</v>
      </c>
      <c r="D23" s="11">
        <v>1</v>
      </c>
      <c r="E23" s="10">
        <v>5</v>
      </c>
      <c r="F23" s="10">
        <v>6</v>
      </c>
      <c r="G23" s="12">
        <v>128</v>
      </c>
      <c r="H23" s="13">
        <v>4.42</v>
      </c>
      <c r="I23" s="12">
        <v>124</v>
      </c>
      <c r="J23" s="14">
        <v>96.875</v>
      </c>
      <c r="K23" s="28">
        <v>8.6999999999999994E-2</v>
      </c>
      <c r="L23" s="12">
        <v>126</v>
      </c>
      <c r="M23" s="14">
        <v>98.438000000000002</v>
      </c>
      <c r="N23" s="13">
        <v>51.573999999999998</v>
      </c>
      <c r="O23" s="12">
        <v>127</v>
      </c>
      <c r="P23" s="14">
        <v>99.218999999999994</v>
      </c>
      <c r="Q23" s="13">
        <v>15.186</v>
      </c>
      <c r="R23" s="31">
        <f t="shared" si="0"/>
        <v>1.5630000000000024</v>
      </c>
      <c r="S23" s="31">
        <f t="shared" si="1"/>
        <v>2.3439999999999941</v>
      </c>
    </row>
    <row r="24" spans="1:19" x14ac:dyDescent="0.25">
      <c r="A24" s="15">
        <v>25</v>
      </c>
      <c r="B24" s="15">
        <v>30</v>
      </c>
      <c r="C24" s="15">
        <v>200</v>
      </c>
      <c r="D24" s="16">
        <v>2</v>
      </c>
      <c r="E24" s="15">
        <v>9</v>
      </c>
      <c r="F24" s="15">
        <v>1</v>
      </c>
      <c r="G24" s="17">
        <v>140</v>
      </c>
      <c r="H24" s="18">
        <v>0.81</v>
      </c>
      <c r="I24" s="19">
        <v>133</v>
      </c>
      <c r="J24" s="20">
        <v>95</v>
      </c>
      <c r="K24" s="29">
        <v>0.106</v>
      </c>
      <c r="L24" s="21">
        <v>138</v>
      </c>
      <c r="M24" s="22">
        <v>98.570999999999998</v>
      </c>
      <c r="N24" s="23">
        <v>69.894999999999996</v>
      </c>
      <c r="O24" s="24">
        <v>138</v>
      </c>
      <c r="P24" s="25">
        <v>98.570999999999998</v>
      </c>
      <c r="Q24" s="26">
        <v>37.573999999999998</v>
      </c>
      <c r="R24" s="31">
        <f t="shared" si="0"/>
        <v>3.570999999999998</v>
      </c>
      <c r="S24" s="31">
        <f t="shared" si="1"/>
        <v>3.570999999999998</v>
      </c>
    </row>
    <row r="25" spans="1:19" x14ac:dyDescent="0.25">
      <c r="A25" s="10">
        <v>25</v>
      </c>
      <c r="B25" s="10">
        <v>30</v>
      </c>
      <c r="C25" s="10">
        <v>200</v>
      </c>
      <c r="D25" s="11">
        <v>3</v>
      </c>
      <c r="E25" s="10">
        <v>3</v>
      </c>
      <c r="F25" s="10">
        <v>2</v>
      </c>
      <c r="G25" s="12">
        <v>144</v>
      </c>
      <c r="H25" s="13">
        <v>4.45</v>
      </c>
      <c r="I25" s="12">
        <v>138</v>
      </c>
      <c r="J25" s="14">
        <v>95.832999999999998</v>
      </c>
      <c r="K25" s="28">
        <v>0.129</v>
      </c>
      <c r="L25" s="12">
        <v>144</v>
      </c>
      <c r="M25" s="14">
        <v>100</v>
      </c>
      <c r="N25" s="13">
        <v>89.346000000000004</v>
      </c>
      <c r="O25" s="12">
        <v>142</v>
      </c>
      <c r="P25" s="14">
        <v>98.611000000000004</v>
      </c>
      <c r="Q25" s="13">
        <v>12.122</v>
      </c>
      <c r="R25" s="31">
        <f t="shared" si="0"/>
        <v>4.1670000000000016</v>
      </c>
      <c r="S25" s="31">
        <f t="shared" si="1"/>
        <v>2.7780000000000058</v>
      </c>
    </row>
    <row r="26" spans="1:19" x14ac:dyDescent="0.25">
      <c r="A26" s="15">
        <v>25</v>
      </c>
      <c r="B26" s="15">
        <v>30</v>
      </c>
      <c r="C26" s="15">
        <v>300</v>
      </c>
      <c r="D26" s="16">
        <v>1</v>
      </c>
      <c r="E26" s="15">
        <v>6</v>
      </c>
      <c r="F26" s="15">
        <v>5</v>
      </c>
      <c r="G26" s="17">
        <v>205</v>
      </c>
      <c r="H26" s="18">
        <v>45.46</v>
      </c>
      <c r="I26" s="19">
        <v>194</v>
      </c>
      <c r="J26" s="20">
        <v>94.634</v>
      </c>
      <c r="K26" s="29">
        <v>0.20399999999999999</v>
      </c>
      <c r="L26" s="21">
        <v>199</v>
      </c>
      <c r="M26" s="22">
        <v>97.072999999999993</v>
      </c>
      <c r="N26" s="23">
        <v>78.471000000000004</v>
      </c>
      <c r="O26" s="24">
        <v>200</v>
      </c>
      <c r="P26" s="25">
        <v>97.561000000000007</v>
      </c>
      <c r="Q26" s="26">
        <v>37.512999999999998</v>
      </c>
      <c r="R26" s="31">
        <f t="shared" si="0"/>
        <v>2.438999999999993</v>
      </c>
      <c r="S26" s="31">
        <f t="shared" si="1"/>
        <v>2.9270000000000067</v>
      </c>
    </row>
    <row r="27" spans="1:19" x14ac:dyDescent="0.25">
      <c r="A27" s="10">
        <v>25</v>
      </c>
      <c r="B27" s="10">
        <v>30</v>
      </c>
      <c r="C27" s="10">
        <v>300</v>
      </c>
      <c r="D27" s="11">
        <v>2</v>
      </c>
      <c r="E27" s="10">
        <v>4</v>
      </c>
      <c r="F27" s="10">
        <v>4</v>
      </c>
      <c r="G27" s="12">
        <v>218</v>
      </c>
      <c r="H27" s="13">
        <v>12.71</v>
      </c>
      <c r="I27" s="12">
        <v>207</v>
      </c>
      <c r="J27" s="14">
        <v>94.953999999999994</v>
      </c>
      <c r="K27" s="28">
        <v>0.25600000000000001</v>
      </c>
      <c r="L27" s="12">
        <v>215</v>
      </c>
      <c r="M27" s="14">
        <v>98.623999999999995</v>
      </c>
      <c r="N27" s="13">
        <v>112.056</v>
      </c>
      <c r="O27" s="12">
        <v>215</v>
      </c>
      <c r="P27" s="14">
        <v>98.623999999999995</v>
      </c>
      <c r="Q27" s="13">
        <v>25.396000000000001</v>
      </c>
      <c r="R27" s="31">
        <f t="shared" si="0"/>
        <v>3.6700000000000017</v>
      </c>
      <c r="S27" s="31">
        <f t="shared" si="1"/>
        <v>3.6700000000000017</v>
      </c>
    </row>
    <row r="28" spans="1:19" x14ac:dyDescent="0.25">
      <c r="A28" s="15">
        <v>25</v>
      </c>
      <c r="B28" s="15">
        <v>30</v>
      </c>
      <c r="C28" s="15">
        <v>300</v>
      </c>
      <c r="D28" s="16">
        <v>3</v>
      </c>
      <c r="E28" s="15">
        <v>5</v>
      </c>
      <c r="F28" s="15">
        <v>1</v>
      </c>
      <c r="G28" s="17">
        <v>210</v>
      </c>
      <c r="H28" s="18">
        <v>1.62</v>
      </c>
      <c r="I28" s="19">
        <v>200</v>
      </c>
      <c r="J28" s="20">
        <v>95.238</v>
      </c>
      <c r="K28" s="29">
        <v>0.34200000000000003</v>
      </c>
      <c r="L28" s="21">
        <v>210</v>
      </c>
      <c r="M28" s="22">
        <v>100</v>
      </c>
      <c r="N28" s="23">
        <v>132.71799999999999</v>
      </c>
      <c r="O28" s="24">
        <v>209</v>
      </c>
      <c r="P28" s="25">
        <v>99.524000000000001</v>
      </c>
      <c r="Q28" s="26">
        <v>24.885999999999999</v>
      </c>
      <c r="R28" s="31">
        <f t="shared" si="0"/>
        <v>4.7620000000000005</v>
      </c>
      <c r="S28" s="31">
        <f t="shared" si="1"/>
        <v>4.2860000000000014</v>
      </c>
    </row>
    <row r="29" spans="1:19" x14ac:dyDescent="0.25">
      <c r="A29" s="10">
        <v>25</v>
      </c>
      <c r="B29" s="10">
        <v>30</v>
      </c>
      <c r="C29" s="10">
        <v>400</v>
      </c>
      <c r="D29" s="11">
        <v>1</v>
      </c>
      <c r="E29" s="10">
        <v>5</v>
      </c>
      <c r="F29" s="10">
        <v>9</v>
      </c>
      <c r="G29" s="12">
        <v>246</v>
      </c>
      <c r="H29" s="13">
        <v>95.1</v>
      </c>
      <c r="I29" s="12">
        <v>246</v>
      </c>
      <c r="J29" s="14">
        <v>100</v>
      </c>
      <c r="K29" s="28">
        <v>0.34799999999999998</v>
      </c>
      <c r="L29" s="12">
        <v>245</v>
      </c>
      <c r="M29" s="14">
        <v>99.593000000000004</v>
      </c>
      <c r="N29" s="13">
        <v>109.202</v>
      </c>
      <c r="O29" s="12">
        <v>242</v>
      </c>
      <c r="P29" s="14">
        <v>98.373999999999995</v>
      </c>
      <c r="Q29" s="13">
        <v>26.509</v>
      </c>
      <c r="R29" s="31">
        <f t="shared" si="0"/>
        <v>-0.40699999999999648</v>
      </c>
      <c r="S29" s="31">
        <f t="shared" si="1"/>
        <v>-1.6260000000000048</v>
      </c>
    </row>
    <row r="30" spans="1:19" x14ac:dyDescent="0.25">
      <c r="A30" s="15">
        <v>25</v>
      </c>
      <c r="B30" s="15">
        <v>30</v>
      </c>
      <c r="C30" s="15">
        <v>400</v>
      </c>
      <c r="D30" s="16">
        <v>2</v>
      </c>
      <c r="E30" s="15">
        <v>4</v>
      </c>
      <c r="F30" s="15">
        <v>4</v>
      </c>
      <c r="G30" s="17">
        <v>300</v>
      </c>
      <c r="H30" s="18">
        <v>21.16</v>
      </c>
      <c r="I30" s="19">
        <v>273</v>
      </c>
      <c r="J30" s="20">
        <v>91</v>
      </c>
      <c r="K30" s="29">
        <v>0.503</v>
      </c>
      <c r="L30" s="21">
        <v>297</v>
      </c>
      <c r="M30" s="22">
        <v>99</v>
      </c>
      <c r="N30" s="23">
        <v>156.56200000000001</v>
      </c>
      <c r="O30" s="24">
        <v>295</v>
      </c>
      <c r="P30" s="25">
        <v>98.332999999999998</v>
      </c>
      <c r="Q30" s="26">
        <v>42.170999999999999</v>
      </c>
      <c r="R30" s="31">
        <f t="shared" si="0"/>
        <v>8</v>
      </c>
      <c r="S30" s="31">
        <f t="shared" si="1"/>
        <v>7.3329999999999984</v>
      </c>
    </row>
    <row r="31" spans="1:19" x14ac:dyDescent="0.25">
      <c r="A31" s="10">
        <v>30</v>
      </c>
      <c r="B31" s="10">
        <v>36</v>
      </c>
      <c r="C31" s="10">
        <v>25</v>
      </c>
      <c r="D31" s="11">
        <v>1</v>
      </c>
      <c r="E31" s="10">
        <v>4</v>
      </c>
      <c r="F31" s="10">
        <v>2</v>
      </c>
      <c r="G31" s="12">
        <v>13</v>
      </c>
      <c r="H31" s="13">
        <v>0.08</v>
      </c>
      <c r="I31" s="12">
        <v>12</v>
      </c>
      <c r="J31" s="14">
        <v>92.308000000000007</v>
      </c>
      <c r="K31" s="28">
        <v>7.0000000000000001E-3</v>
      </c>
      <c r="L31" s="12">
        <v>12</v>
      </c>
      <c r="M31" s="14">
        <v>92.308000000000007</v>
      </c>
      <c r="N31" s="13">
        <v>6.0750000000000002</v>
      </c>
      <c r="O31" s="12">
        <v>13</v>
      </c>
      <c r="P31" s="14">
        <v>100</v>
      </c>
      <c r="Q31" s="13">
        <v>4.1120000000000001</v>
      </c>
      <c r="R31" s="31">
        <f t="shared" si="0"/>
        <v>0</v>
      </c>
      <c r="S31" s="31">
        <f t="shared" si="1"/>
        <v>7.6919999999999931</v>
      </c>
    </row>
    <row r="32" spans="1:19" x14ac:dyDescent="0.25">
      <c r="A32" s="15">
        <v>30</v>
      </c>
      <c r="B32" s="15">
        <v>36</v>
      </c>
      <c r="C32" s="15">
        <v>25</v>
      </c>
      <c r="D32" s="16">
        <v>2</v>
      </c>
      <c r="E32" s="15">
        <v>4</v>
      </c>
      <c r="F32" s="15">
        <v>1</v>
      </c>
      <c r="G32" s="17">
        <v>16</v>
      </c>
      <c r="H32" s="18">
        <v>0.1</v>
      </c>
      <c r="I32" s="19">
        <v>15</v>
      </c>
      <c r="J32" s="20">
        <v>93.75</v>
      </c>
      <c r="K32" s="29">
        <v>6.0000000000000001E-3</v>
      </c>
      <c r="L32" s="21">
        <v>16</v>
      </c>
      <c r="M32" s="22">
        <v>100</v>
      </c>
      <c r="N32" s="23">
        <v>8.1300000000000008</v>
      </c>
      <c r="O32" s="24">
        <v>16</v>
      </c>
      <c r="P32" s="25">
        <v>100</v>
      </c>
      <c r="Q32" s="26">
        <v>4.2469999999999999</v>
      </c>
      <c r="R32" s="31">
        <f t="shared" si="0"/>
        <v>6.25</v>
      </c>
      <c r="S32" s="31">
        <f t="shared" si="1"/>
        <v>6.25</v>
      </c>
    </row>
    <row r="33" spans="1:19" x14ac:dyDescent="0.25">
      <c r="A33" s="10">
        <v>30</v>
      </c>
      <c r="B33" s="10">
        <v>36</v>
      </c>
      <c r="C33" s="10">
        <v>25</v>
      </c>
      <c r="D33" s="11">
        <v>3</v>
      </c>
      <c r="E33" s="10">
        <v>3</v>
      </c>
      <c r="F33" s="10">
        <v>1</v>
      </c>
      <c r="G33" s="12">
        <v>17</v>
      </c>
      <c r="H33" s="13">
        <v>0.1</v>
      </c>
      <c r="I33" s="12">
        <v>16</v>
      </c>
      <c r="J33" s="14">
        <v>94.117999999999995</v>
      </c>
      <c r="K33" s="28">
        <v>5.0000000000000001E-3</v>
      </c>
      <c r="L33" s="12">
        <v>17</v>
      </c>
      <c r="M33" s="14">
        <v>100</v>
      </c>
      <c r="N33" s="13">
        <v>10.673</v>
      </c>
      <c r="O33" s="12">
        <v>17</v>
      </c>
      <c r="P33" s="14">
        <v>100</v>
      </c>
      <c r="Q33" s="13">
        <v>3.2869999999999999</v>
      </c>
      <c r="R33" s="31">
        <f t="shared" si="0"/>
        <v>5.882000000000005</v>
      </c>
      <c r="S33" s="31">
        <f t="shared" si="1"/>
        <v>5.882000000000005</v>
      </c>
    </row>
    <row r="34" spans="1:19" x14ac:dyDescent="0.25">
      <c r="A34" s="15">
        <v>30</v>
      </c>
      <c r="B34" s="15">
        <v>36</v>
      </c>
      <c r="C34" s="15">
        <v>50</v>
      </c>
      <c r="D34" s="16">
        <v>1</v>
      </c>
      <c r="E34" s="15">
        <v>9</v>
      </c>
      <c r="F34" s="15">
        <v>1</v>
      </c>
      <c r="G34" s="17">
        <v>30</v>
      </c>
      <c r="H34" s="18">
        <v>0.13</v>
      </c>
      <c r="I34" s="19">
        <v>30</v>
      </c>
      <c r="J34" s="20">
        <v>100</v>
      </c>
      <c r="K34" s="29">
        <v>1.2999999999999999E-2</v>
      </c>
      <c r="L34" s="21">
        <v>30</v>
      </c>
      <c r="M34" s="22">
        <v>100</v>
      </c>
      <c r="N34" s="23">
        <v>10.837</v>
      </c>
      <c r="O34" s="24">
        <v>30</v>
      </c>
      <c r="P34" s="25">
        <v>100</v>
      </c>
      <c r="Q34" s="26">
        <v>17.102</v>
      </c>
      <c r="R34" s="31">
        <f t="shared" si="0"/>
        <v>0</v>
      </c>
      <c r="S34" s="31">
        <f t="shared" si="1"/>
        <v>0</v>
      </c>
    </row>
    <row r="35" spans="1:19" x14ac:dyDescent="0.25">
      <c r="A35" s="10">
        <v>30</v>
      </c>
      <c r="B35" s="10">
        <v>36</v>
      </c>
      <c r="C35" s="10">
        <v>50</v>
      </c>
      <c r="D35" s="11">
        <v>2</v>
      </c>
      <c r="E35" s="10">
        <v>7</v>
      </c>
      <c r="F35" s="10">
        <v>1</v>
      </c>
      <c r="G35" s="12">
        <v>36</v>
      </c>
      <c r="H35" s="13">
        <v>0.18</v>
      </c>
      <c r="I35" s="12">
        <v>35</v>
      </c>
      <c r="J35" s="14">
        <v>97.221999999999994</v>
      </c>
      <c r="K35" s="28">
        <v>1.0999999999999999E-2</v>
      </c>
      <c r="L35" s="12">
        <v>36</v>
      </c>
      <c r="M35" s="14">
        <v>100</v>
      </c>
      <c r="N35" s="13">
        <v>15.151999999999999</v>
      </c>
      <c r="O35" s="12">
        <v>36</v>
      </c>
      <c r="P35" s="14">
        <v>100</v>
      </c>
      <c r="Q35" s="13">
        <v>15.597</v>
      </c>
      <c r="R35" s="31">
        <f t="shared" si="0"/>
        <v>2.7780000000000058</v>
      </c>
      <c r="S35" s="31">
        <f t="shared" si="1"/>
        <v>2.7780000000000058</v>
      </c>
    </row>
    <row r="36" spans="1:19" x14ac:dyDescent="0.25">
      <c r="A36" s="15">
        <v>30</v>
      </c>
      <c r="B36" s="15">
        <v>36</v>
      </c>
      <c r="C36" s="15">
        <v>50</v>
      </c>
      <c r="D36" s="16">
        <v>3</v>
      </c>
      <c r="E36" s="15">
        <v>3</v>
      </c>
      <c r="F36" s="15">
        <v>4</v>
      </c>
      <c r="G36" s="17">
        <v>38</v>
      </c>
      <c r="H36" s="18">
        <v>0.19</v>
      </c>
      <c r="I36" s="19">
        <v>36</v>
      </c>
      <c r="J36" s="20">
        <v>94.736999999999995</v>
      </c>
      <c r="K36" s="29">
        <v>1.2E-2</v>
      </c>
      <c r="L36" s="21">
        <v>38</v>
      </c>
      <c r="M36" s="22">
        <v>100</v>
      </c>
      <c r="N36" s="23">
        <v>18.777999999999999</v>
      </c>
      <c r="O36" s="24">
        <v>38</v>
      </c>
      <c r="P36" s="25">
        <v>100</v>
      </c>
      <c r="Q36" s="26">
        <v>3.532</v>
      </c>
      <c r="R36" s="31">
        <f t="shared" si="0"/>
        <v>5.2630000000000052</v>
      </c>
      <c r="S36" s="31">
        <f t="shared" si="1"/>
        <v>5.2630000000000052</v>
      </c>
    </row>
    <row r="37" spans="1:19" x14ac:dyDescent="0.25">
      <c r="A37" s="10">
        <v>30</v>
      </c>
      <c r="B37" s="10">
        <v>36</v>
      </c>
      <c r="C37" s="10">
        <v>100</v>
      </c>
      <c r="D37" s="11">
        <v>1</v>
      </c>
      <c r="E37" s="10">
        <v>5</v>
      </c>
      <c r="F37" s="10">
        <v>5</v>
      </c>
      <c r="G37" s="12">
        <v>59</v>
      </c>
      <c r="H37" s="13">
        <v>0.26</v>
      </c>
      <c r="I37" s="12">
        <v>58</v>
      </c>
      <c r="J37" s="14">
        <v>98.305000000000007</v>
      </c>
      <c r="K37" s="28">
        <v>2.8000000000000001E-2</v>
      </c>
      <c r="L37" s="12">
        <v>57</v>
      </c>
      <c r="M37" s="14">
        <v>96.61</v>
      </c>
      <c r="N37" s="13">
        <v>22.523</v>
      </c>
      <c r="O37" s="12">
        <v>59</v>
      </c>
      <c r="P37" s="14">
        <v>100</v>
      </c>
      <c r="Q37" s="13">
        <v>8.6549999999999994</v>
      </c>
      <c r="R37" s="31">
        <f t="shared" si="0"/>
        <v>-1.6950000000000074</v>
      </c>
      <c r="S37" s="31">
        <f t="shared" si="1"/>
        <v>1.6949999999999932</v>
      </c>
    </row>
    <row r="38" spans="1:19" x14ac:dyDescent="0.25">
      <c r="A38" s="15">
        <v>30</v>
      </c>
      <c r="B38" s="15">
        <v>36</v>
      </c>
      <c r="C38" s="15">
        <v>100</v>
      </c>
      <c r="D38" s="16">
        <v>2</v>
      </c>
      <c r="E38" s="15">
        <v>4</v>
      </c>
      <c r="F38" s="15">
        <v>3</v>
      </c>
      <c r="G38" s="17">
        <v>69</v>
      </c>
      <c r="H38" s="18">
        <v>0.94</v>
      </c>
      <c r="I38" s="19">
        <v>64</v>
      </c>
      <c r="J38" s="20">
        <v>92.754000000000005</v>
      </c>
      <c r="K38" s="29">
        <v>2.8000000000000001E-2</v>
      </c>
      <c r="L38" s="21">
        <v>68</v>
      </c>
      <c r="M38" s="22">
        <v>98.551000000000002</v>
      </c>
      <c r="N38" s="23">
        <v>31.766999999999999</v>
      </c>
      <c r="O38" s="24">
        <v>68</v>
      </c>
      <c r="P38" s="25">
        <v>98.551000000000002</v>
      </c>
      <c r="Q38" s="26">
        <v>10.247</v>
      </c>
      <c r="R38" s="31">
        <f t="shared" si="0"/>
        <v>5.796999999999997</v>
      </c>
      <c r="S38" s="31">
        <f t="shared" si="1"/>
        <v>5.796999999999997</v>
      </c>
    </row>
    <row r="39" spans="1:19" x14ac:dyDescent="0.25">
      <c r="A39" s="10">
        <v>30</v>
      </c>
      <c r="B39" s="10">
        <v>36</v>
      </c>
      <c r="C39" s="10">
        <v>100</v>
      </c>
      <c r="D39" s="11">
        <v>3</v>
      </c>
      <c r="E39" s="10">
        <v>3</v>
      </c>
      <c r="F39" s="10">
        <v>3</v>
      </c>
      <c r="G39" s="12">
        <v>75</v>
      </c>
      <c r="H39" s="13">
        <v>0.56999999999999995</v>
      </c>
      <c r="I39" s="12">
        <v>74</v>
      </c>
      <c r="J39" s="14">
        <v>98.667000000000002</v>
      </c>
      <c r="K39" s="28">
        <v>0.03</v>
      </c>
      <c r="L39" s="12">
        <v>75</v>
      </c>
      <c r="M39" s="14">
        <v>100</v>
      </c>
      <c r="N39" s="13">
        <v>37.396999999999998</v>
      </c>
      <c r="O39" s="12">
        <v>74</v>
      </c>
      <c r="P39" s="14">
        <v>98.667000000000002</v>
      </c>
      <c r="Q39" s="13">
        <v>6.1520000000000001</v>
      </c>
      <c r="R39" s="31">
        <f t="shared" si="0"/>
        <v>1.3329999999999984</v>
      </c>
      <c r="S39" s="31">
        <f t="shared" si="1"/>
        <v>0</v>
      </c>
    </row>
    <row r="40" spans="1:19" x14ac:dyDescent="0.25">
      <c r="A40" s="15">
        <v>30</v>
      </c>
      <c r="B40" s="15">
        <v>36</v>
      </c>
      <c r="C40" s="15">
        <v>200</v>
      </c>
      <c r="D40" s="16">
        <v>1</v>
      </c>
      <c r="E40" s="15">
        <v>5</v>
      </c>
      <c r="F40" s="15">
        <v>7</v>
      </c>
      <c r="G40" s="17">
        <v>112</v>
      </c>
      <c r="H40" s="18">
        <v>0.74</v>
      </c>
      <c r="I40" s="19">
        <v>112</v>
      </c>
      <c r="J40" s="20">
        <v>100</v>
      </c>
      <c r="K40" s="29">
        <v>8.5999999999999993E-2</v>
      </c>
      <c r="L40" s="21">
        <v>111</v>
      </c>
      <c r="M40" s="22">
        <v>99.106999999999999</v>
      </c>
      <c r="N40" s="23">
        <v>44.19</v>
      </c>
      <c r="O40" s="24">
        <v>111</v>
      </c>
      <c r="P40" s="25">
        <v>99.106999999999999</v>
      </c>
      <c r="Q40" s="26">
        <v>13.864000000000001</v>
      </c>
      <c r="R40" s="31">
        <f t="shared" si="0"/>
        <v>-0.89300000000000068</v>
      </c>
      <c r="S40" s="31">
        <f t="shared" si="1"/>
        <v>-0.89300000000000068</v>
      </c>
    </row>
    <row r="41" spans="1:19" x14ac:dyDescent="0.25">
      <c r="A41" s="10">
        <v>30</v>
      </c>
      <c r="B41" s="10">
        <v>36</v>
      </c>
      <c r="C41" s="10">
        <v>200</v>
      </c>
      <c r="D41" s="11">
        <v>2</v>
      </c>
      <c r="E41" s="10">
        <v>3</v>
      </c>
      <c r="F41" s="10">
        <v>6</v>
      </c>
      <c r="G41" s="12">
        <v>120</v>
      </c>
      <c r="H41" s="13">
        <v>1.06</v>
      </c>
      <c r="I41" s="12">
        <v>120</v>
      </c>
      <c r="J41" s="14">
        <v>100</v>
      </c>
      <c r="K41" s="28">
        <v>0.08</v>
      </c>
      <c r="L41" s="12">
        <v>120</v>
      </c>
      <c r="M41" s="14">
        <v>100</v>
      </c>
      <c r="N41" s="13">
        <v>60.503</v>
      </c>
      <c r="O41" s="12">
        <v>119</v>
      </c>
      <c r="P41" s="14">
        <v>99.167000000000002</v>
      </c>
      <c r="Q41" s="13">
        <v>9.8979999999999997</v>
      </c>
      <c r="R41" s="31">
        <f t="shared" si="0"/>
        <v>0</v>
      </c>
      <c r="S41" s="31">
        <f t="shared" si="1"/>
        <v>-0.83299999999999841</v>
      </c>
    </row>
    <row r="42" spans="1:19" x14ac:dyDescent="0.25">
      <c r="A42" s="15">
        <v>30</v>
      </c>
      <c r="B42" s="15">
        <v>36</v>
      </c>
      <c r="C42" s="15">
        <v>200</v>
      </c>
      <c r="D42" s="16">
        <v>3</v>
      </c>
      <c r="E42" s="15">
        <v>6</v>
      </c>
      <c r="F42" s="15">
        <v>1</v>
      </c>
      <c r="G42" s="17">
        <v>131</v>
      </c>
      <c r="H42" s="18">
        <v>0.99</v>
      </c>
      <c r="I42" s="19">
        <v>129</v>
      </c>
      <c r="J42" s="20">
        <v>98.472999999999999</v>
      </c>
      <c r="K42" s="29">
        <v>0.112</v>
      </c>
      <c r="L42" s="21">
        <v>130</v>
      </c>
      <c r="M42" s="22">
        <v>99.236999999999995</v>
      </c>
      <c r="N42" s="23">
        <v>77.445999999999998</v>
      </c>
      <c r="O42" s="24">
        <v>129</v>
      </c>
      <c r="P42" s="25">
        <v>98.472999999999999</v>
      </c>
      <c r="Q42" s="26">
        <v>18.358000000000001</v>
      </c>
      <c r="R42" s="31">
        <f t="shared" si="0"/>
        <v>0.76399999999999579</v>
      </c>
      <c r="S42" s="31">
        <f t="shared" si="1"/>
        <v>0</v>
      </c>
    </row>
    <row r="43" spans="1:19" x14ac:dyDescent="0.25">
      <c r="A43" s="10">
        <v>30</v>
      </c>
      <c r="B43" s="10">
        <v>36</v>
      </c>
      <c r="C43" s="10">
        <v>400</v>
      </c>
      <c r="D43" s="11">
        <v>1</v>
      </c>
      <c r="E43" s="10">
        <v>6</v>
      </c>
      <c r="F43" s="10">
        <v>8</v>
      </c>
      <c r="G43" s="12">
        <v>242</v>
      </c>
      <c r="H43" s="13">
        <v>7.27</v>
      </c>
      <c r="I43" s="12">
        <v>239</v>
      </c>
      <c r="J43" s="14">
        <v>98.76</v>
      </c>
      <c r="K43" s="28">
        <v>0.27700000000000002</v>
      </c>
      <c r="L43" s="12">
        <v>230</v>
      </c>
      <c r="M43" s="14">
        <v>95.040999999999997</v>
      </c>
      <c r="N43" s="13">
        <v>91.772000000000006</v>
      </c>
      <c r="O43" s="12">
        <v>242</v>
      </c>
      <c r="P43" s="14">
        <v>100</v>
      </c>
      <c r="Q43" s="13">
        <v>51.93</v>
      </c>
      <c r="R43" s="31">
        <f t="shared" si="0"/>
        <v>-3.7190000000000083</v>
      </c>
      <c r="S43" s="31">
        <f t="shared" si="1"/>
        <v>1.2399999999999949</v>
      </c>
    </row>
    <row r="44" spans="1:19" x14ac:dyDescent="0.25">
      <c r="A44" s="15">
        <v>30</v>
      </c>
      <c r="B44" s="15">
        <v>36</v>
      </c>
      <c r="C44" s="15">
        <v>400</v>
      </c>
      <c r="D44" s="16">
        <v>2</v>
      </c>
      <c r="E44" s="15">
        <v>4</v>
      </c>
      <c r="F44" s="15">
        <v>3</v>
      </c>
      <c r="G44" s="17">
        <v>252</v>
      </c>
      <c r="H44" s="18">
        <v>5.17</v>
      </c>
      <c r="I44" s="19">
        <v>234</v>
      </c>
      <c r="J44" s="20">
        <v>92.856999999999999</v>
      </c>
      <c r="K44" s="29">
        <v>0.33100000000000002</v>
      </c>
      <c r="L44" s="21">
        <v>248</v>
      </c>
      <c r="M44" s="22">
        <v>98.412999999999997</v>
      </c>
      <c r="N44" s="23">
        <v>122.261</v>
      </c>
      <c r="O44" s="24">
        <v>252</v>
      </c>
      <c r="P44" s="25">
        <v>100</v>
      </c>
      <c r="Q44" s="26">
        <v>42.469000000000001</v>
      </c>
      <c r="R44" s="31">
        <f t="shared" si="0"/>
        <v>5.5559999999999974</v>
      </c>
      <c r="S44" s="31">
        <f t="shared" si="1"/>
        <v>7.1430000000000007</v>
      </c>
    </row>
    <row r="45" spans="1:19" x14ac:dyDescent="0.25">
      <c r="A45" s="10">
        <v>30</v>
      </c>
      <c r="B45" s="10">
        <v>36</v>
      </c>
      <c r="C45" s="10">
        <v>400</v>
      </c>
      <c r="D45" s="11">
        <v>3</v>
      </c>
      <c r="E45" s="10">
        <v>4</v>
      </c>
      <c r="F45" s="10">
        <v>2</v>
      </c>
      <c r="G45" s="12">
        <v>278</v>
      </c>
      <c r="H45" s="13">
        <v>6.94</v>
      </c>
      <c r="I45" s="12">
        <v>261</v>
      </c>
      <c r="J45" s="14">
        <v>93.885000000000005</v>
      </c>
      <c r="K45" s="28">
        <v>0.59699999999999998</v>
      </c>
      <c r="L45" s="12">
        <v>278</v>
      </c>
      <c r="M45" s="14">
        <v>100</v>
      </c>
      <c r="N45" s="13">
        <v>168.47900000000001</v>
      </c>
      <c r="O45" s="12">
        <v>277</v>
      </c>
      <c r="P45" s="14">
        <v>99.64</v>
      </c>
      <c r="Q45" s="13">
        <v>25.143999999999998</v>
      </c>
      <c r="R45" s="31">
        <f t="shared" si="0"/>
        <v>6.1149999999999949</v>
      </c>
      <c r="S45" s="31">
        <f t="shared" si="1"/>
        <v>5.7549999999999955</v>
      </c>
    </row>
    <row r="46" spans="1:19" x14ac:dyDescent="0.25">
      <c r="A46" s="15">
        <v>42</v>
      </c>
      <c r="B46" s="15">
        <v>50</v>
      </c>
      <c r="C46" s="15">
        <v>25</v>
      </c>
      <c r="D46" s="16">
        <v>1</v>
      </c>
      <c r="E46" s="15">
        <v>4</v>
      </c>
      <c r="F46" s="15">
        <v>3</v>
      </c>
      <c r="G46" s="17">
        <v>15</v>
      </c>
      <c r="H46" s="18">
        <v>0.08</v>
      </c>
      <c r="I46" s="19">
        <v>14</v>
      </c>
      <c r="J46" s="20">
        <v>93.332999999999998</v>
      </c>
      <c r="K46" s="29">
        <v>7.0000000000000001E-3</v>
      </c>
      <c r="L46" s="21">
        <v>15</v>
      </c>
      <c r="M46" s="22">
        <v>100</v>
      </c>
      <c r="N46" s="23">
        <v>5.8440000000000003</v>
      </c>
      <c r="O46" s="24">
        <v>15</v>
      </c>
      <c r="P46" s="25">
        <v>100</v>
      </c>
      <c r="Q46" s="26">
        <v>2.9289999999999998</v>
      </c>
      <c r="R46" s="31">
        <f t="shared" si="0"/>
        <v>6.6670000000000016</v>
      </c>
      <c r="S46" s="31">
        <f t="shared" si="1"/>
        <v>6.6670000000000016</v>
      </c>
    </row>
    <row r="47" spans="1:19" x14ac:dyDescent="0.25">
      <c r="A47" s="10">
        <v>42</v>
      </c>
      <c r="B47" s="10">
        <v>50</v>
      </c>
      <c r="C47" s="10">
        <v>25</v>
      </c>
      <c r="D47" s="11">
        <v>2</v>
      </c>
      <c r="E47" s="10">
        <v>7</v>
      </c>
      <c r="F47" s="10">
        <v>1</v>
      </c>
      <c r="G47" s="12">
        <v>17</v>
      </c>
      <c r="H47" s="13">
        <v>0.09</v>
      </c>
      <c r="I47" s="12">
        <v>17</v>
      </c>
      <c r="J47" s="14">
        <v>100</v>
      </c>
      <c r="K47" s="28">
        <v>6.0000000000000001E-3</v>
      </c>
      <c r="L47" s="12">
        <v>17</v>
      </c>
      <c r="M47" s="14">
        <v>100</v>
      </c>
      <c r="N47" s="13">
        <v>7.11</v>
      </c>
      <c r="O47" s="12">
        <v>17</v>
      </c>
      <c r="P47" s="14">
        <v>100</v>
      </c>
      <c r="Q47" s="13">
        <v>8.2859999999999996</v>
      </c>
      <c r="R47" s="31">
        <f t="shared" si="0"/>
        <v>0</v>
      </c>
      <c r="S47" s="31">
        <f t="shared" si="1"/>
        <v>0</v>
      </c>
    </row>
    <row r="48" spans="1:19" x14ac:dyDescent="0.25">
      <c r="A48" s="15">
        <v>42</v>
      </c>
      <c r="B48" s="15">
        <v>50</v>
      </c>
      <c r="C48" s="15">
        <v>25</v>
      </c>
      <c r="D48" s="16">
        <v>3</v>
      </c>
      <c r="E48" s="15">
        <v>4</v>
      </c>
      <c r="F48" s="15">
        <v>1</v>
      </c>
      <c r="G48" s="17">
        <v>18</v>
      </c>
      <c r="H48" s="18">
        <v>0.11</v>
      </c>
      <c r="I48" s="19">
        <v>17</v>
      </c>
      <c r="J48" s="20">
        <v>94.444000000000003</v>
      </c>
      <c r="K48" s="29">
        <v>6.0000000000000001E-3</v>
      </c>
      <c r="L48" s="21">
        <v>18</v>
      </c>
      <c r="M48" s="22">
        <v>100</v>
      </c>
      <c r="N48" s="23">
        <v>9.2200000000000006</v>
      </c>
      <c r="O48" s="24">
        <v>18</v>
      </c>
      <c r="P48" s="25">
        <v>100</v>
      </c>
      <c r="Q48" s="26">
        <v>5.42</v>
      </c>
      <c r="R48" s="31">
        <f t="shared" si="0"/>
        <v>5.5559999999999974</v>
      </c>
      <c r="S48" s="31">
        <f t="shared" si="1"/>
        <v>5.5559999999999974</v>
      </c>
    </row>
    <row r="49" spans="1:19" x14ac:dyDescent="0.25">
      <c r="A49" s="10">
        <v>42</v>
      </c>
      <c r="B49" s="10">
        <v>50</v>
      </c>
      <c r="C49" s="10">
        <v>50</v>
      </c>
      <c r="D49" s="11">
        <v>1</v>
      </c>
      <c r="E49" s="10">
        <v>7</v>
      </c>
      <c r="F49" s="10">
        <v>2</v>
      </c>
      <c r="G49" s="12">
        <v>27</v>
      </c>
      <c r="H49" s="13">
        <v>0.13</v>
      </c>
      <c r="I49" s="12">
        <v>25</v>
      </c>
      <c r="J49" s="14">
        <v>92.593000000000004</v>
      </c>
      <c r="K49" s="28">
        <v>1.7000000000000001E-2</v>
      </c>
      <c r="L49" s="12">
        <v>26</v>
      </c>
      <c r="M49" s="14">
        <v>96.296000000000006</v>
      </c>
      <c r="N49" s="13">
        <v>9.6910000000000007</v>
      </c>
      <c r="O49" s="12">
        <v>27</v>
      </c>
      <c r="P49" s="14">
        <v>100</v>
      </c>
      <c r="Q49" s="13">
        <v>8.1929999999999996</v>
      </c>
      <c r="R49" s="31">
        <f t="shared" si="0"/>
        <v>3.703000000000003</v>
      </c>
      <c r="S49" s="31">
        <f t="shared" si="1"/>
        <v>7.4069999999999965</v>
      </c>
    </row>
    <row r="50" spans="1:19" x14ac:dyDescent="0.25">
      <c r="A50" s="15">
        <v>42</v>
      </c>
      <c r="B50" s="15">
        <v>50</v>
      </c>
      <c r="C50" s="15">
        <v>50</v>
      </c>
      <c r="D50" s="16">
        <v>2</v>
      </c>
      <c r="E50" s="15">
        <v>5</v>
      </c>
      <c r="F50" s="15">
        <v>3</v>
      </c>
      <c r="G50" s="17">
        <v>37</v>
      </c>
      <c r="H50" s="18">
        <v>0.19</v>
      </c>
      <c r="I50" s="19">
        <v>33</v>
      </c>
      <c r="J50" s="20">
        <v>89.188999999999993</v>
      </c>
      <c r="K50" s="29">
        <v>1.2999999999999999E-2</v>
      </c>
      <c r="L50" s="21">
        <v>36</v>
      </c>
      <c r="M50" s="22">
        <v>97.296999999999997</v>
      </c>
      <c r="N50" s="23">
        <v>13.648999999999999</v>
      </c>
      <c r="O50" s="24">
        <v>37</v>
      </c>
      <c r="P50" s="25">
        <v>100</v>
      </c>
      <c r="Q50" s="26">
        <v>6.891</v>
      </c>
      <c r="R50" s="31">
        <f t="shared" si="0"/>
        <v>8.1080000000000041</v>
      </c>
      <c r="S50" s="31">
        <f t="shared" si="1"/>
        <v>10.811000000000007</v>
      </c>
    </row>
    <row r="51" spans="1:19" x14ac:dyDescent="0.25">
      <c r="A51" s="10">
        <v>42</v>
      </c>
      <c r="B51" s="10">
        <v>50</v>
      </c>
      <c r="C51" s="10">
        <v>50</v>
      </c>
      <c r="D51" s="11">
        <v>3</v>
      </c>
      <c r="E51" s="10">
        <v>5</v>
      </c>
      <c r="F51" s="10">
        <v>1</v>
      </c>
      <c r="G51" s="12">
        <v>31</v>
      </c>
      <c r="H51" s="13">
        <v>0.16</v>
      </c>
      <c r="I51" s="12">
        <v>30</v>
      </c>
      <c r="J51" s="14">
        <v>96.774000000000001</v>
      </c>
      <c r="K51" s="28">
        <v>1.2E-2</v>
      </c>
      <c r="L51" s="12">
        <v>31</v>
      </c>
      <c r="M51" s="14">
        <v>100</v>
      </c>
      <c r="N51" s="13">
        <v>14.958</v>
      </c>
      <c r="O51" s="12">
        <v>31</v>
      </c>
      <c r="P51" s="14">
        <v>100</v>
      </c>
      <c r="Q51" s="13">
        <v>6.7439999999999998</v>
      </c>
      <c r="R51" s="31">
        <f t="shared" si="0"/>
        <v>3.2259999999999991</v>
      </c>
      <c r="S51" s="31">
        <f t="shared" si="1"/>
        <v>3.2259999999999991</v>
      </c>
    </row>
    <row r="52" spans="1:19" x14ac:dyDescent="0.25">
      <c r="A52" s="15">
        <v>42</v>
      </c>
      <c r="B52" s="15">
        <v>50</v>
      </c>
      <c r="C52" s="15">
        <v>100</v>
      </c>
      <c r="D52" s="16">
        <v>1</v>
      </c>
      <c r="E52" s="15">
        <v>6</v>
      </c>
      <c r="F52" s="15">
        <v>5</v>
      </c>
      <c r="G52" s="17">
        <v>49</v>
      </c>
      <c r="H52" s="18">
        <v>0.23</v>
      </c>
      <c r="I52" s="19">
        <v>49</v>
      </c>
      <c r="J52" s="20">
        <v>100</v>
      </c>
      <c r="K52" s="29">
        <v>3.5000000000000003E-2</v>
      </c>
      <c r="L52" s="21">
        <v>47</v>
      </c>
      <c r="M52" s="22">
        <v>95.918000000000006</v>
      </c>
      <c r="N52" s="23">
        <v>18.7</v>
      </c>
      <c r="O52" s="24">
        <v>49</v>
      </c>
      <c r="P52" s="25">
        <v>100</v>
      </c>
      <c r="Q52" s="26">
        <v>11.013</v>
      </c>
      <c r="R52" s="31">
        <f t="shared" si="0"/>
        <v>-4.0819999999999936</v>
      </c>
      <c r="S52" s="31">
        <f t="shared" si="1"/>
        <v>0</v>
      </c>
    </row>
    <row r="53" spans="1:19" x14ac:dyDescent="0.25">
      <c r="A53" s="10">
        <v>42</v>
      </c>
      <c r="B53" s="10">
        <v>50</v>
      </c>
      <c r="C53" s="10">
        <v>100</v>
      </c>
      <c r="D53" s="11">
        <v>2</v>
      </c>
      <c r="E53" s="10">
        <v>5</v>
      </c>
      <c r="F53" s="10">
        <v>4</v>
      </c>
      <c r="G53" s="12">
        <v>63</v>
      </c>
      <c r="H53" s="13">
        <v>0.51</v>
      </c>
      <c r="I53" s="12">
        <v>62</v>
      </c>
      <c r="J53" s="14">
        <v>98.412999999999997</v>
      </c>
      <c r="K53" s="28">
        <v>2.9000000000000001E-2</v>
      </c>
      <c r="L53" s="12">
        <v>61</v>
      </c>
      <c r="M53" s="14">
        <v>96.825000000000003</v>
      </c>
      <c r="N53" s="13">
        <v>24.222999999999999</v>
      </c>
      <c r="O53" s="12">
        <v>63</v>
      </c>
      <c r="P53" s="14">
        <v>100</v>
      </c>
      <c r="Q53" s="13">
        <v>9.7899999999999991</v>
      </c>
      <c r="R53" s="31">
        <f t="shared" si="0"/>
        <v>-1.5879999999999939</v>
      </c>
      <c r="S53" s="31">
        <f t="shared" si="1"/>
        <v>1.5870000000000033</v>
      </c>
    </row>
    <row r="54" spans="1:19" x14ac:dyDescent="0.25">
      <c r="A54" s="15">
        <v>42</v>
      </c>
      <c r="B54" s="15">
        <v>50</v>
      </c>
      <c r="C54" s="15">
        <v>100</v>
      </c>
      <c r="D54" s="16">
        <v>3</v>
      </c>
      <c r="E54" s="15">
        <v>8</v>
      </c>
      <c r="F54" s="15">
        <v>1</v>
      </c>
      <c r="G54" s="17">
        <v>67</v>
      </c>
      <c r="H54" s="18">
        <v>0.35</v>
      </c>
      <c r="I54" s="19">
        <v>64</v>
      </c>
      <c r="J54" s="20">
        <v>95.522000000000006</v>
      </c>
      <c r="K54" s="29">
        <v>0.03</v>
      </c>
      <c r="L54" s="21">
        <v>66</v>
      </c>
      <c r="M54" s="22">
        <v>98.507000000000005</v>
      </c>
      <c r="N54" s="23">
        <v>29.030999999999999</v>
      </c>
      <c r="O54" s="24">
        <v>67</v>
      </c>
      <c r="P54" s="25">
        <v>100</v>
      </c>
      <c r="Q54" s="26">
        <v>22.047000000000001</v>
      </c>
      <c r="R54" s="31">
        <f t="shared" si="0"/>
        <v>2.9849999999999994</v>
      </c>
      <c r="S54" s="31">
        <f t="shared" si="1"/>
        <v>4.4779999999999944</v>
      </c>
    </row>
    <row r="55" spans="1:19" x14ac:dyDescent="0.25">
      <c r="A55" s="10">
        <v>42</v>
      </c>
      <c r="B55" s="10">
        <v>50</v>
      </c>
      <c r="C55" s="10">
        <v>200</v>
      </c>
      <c r="D55" s="11">
        <v>1</v>
      </c>
      <c r="E55" s="10">
        <v>9</v>
      </c>
      <c r="F55" s="10">
        <v>3</v>
      </c>
      <c r="G55" s="12">
        <v>113</v>
      </c>
      <c r="H55" s="13">
        <v>0.79</v>
      </c>
      <c r="I55" s="12">
        <v>106</v>
      </c>
      <c r="J55" s="14">
        <v>93.805000000000007</v>
      </c>
      <c r="K55" s="28">
        <v>8.3000000000000004E-2</v>
      </c>
      <c r="L55" s="12">
        <v>108</v>
      </c>
      <c r="M55" s="14">
        <v>95.575000000000003</v>
      </c>
      <c r="N55" s="13">
        <v>38.137</v>
      </c>
      <c r="O55" s="12">
        <v>113</v>
      </c>
      <c r="P55" s="14">
        <v>100</v>
      </c>
      <c r="Q55" s="13">
        <v>38.094999999999999</v>
      </c>
      <c r="R55" s="31">
        <f t="shared" si="0"/>
        <v>1.769999999999996</v>
      </c>
      <c r="S55" s="31">
        <f t="shared" si="1"/>
        <v>6.1949999999999932</v>
      </c>
    </row>
    <row r="56" spans="1:19" x14ac:dyDescent="0.25">
      <c r="A56" s="15">
        <v>42</v>
      </c>
      <c r="B56" s="15">
        <v>50</v>
      </c>
      <c r="C56" s="15">
        <v>200</v>
      </c>
      <c r="D56" s="16">
        <v>2</v>
      </c>
      <c r="E56" s="15">
        <v>5</v>
      </c>
      <c r="F56" s="15">
        <v>6</v>
      </c>
      <c r="G56" s="17">
        <v>132</v>
      </c>
      <c r="H56" s="18">
        <v>3.15</v>
      </c>
      <c r="I56" s="19">
        <v>132</v>
      </c>
      <c r="J56" s="20">
        <v>100</v>
      </c>
      <c r="K56" s="29">
        <v>8.7999999999999995E-2</v>
      </c>
      <c r="L56" s="21">
        <v>130</v>
      </c>
      <c r="M56" s="22">
        <v>98.484999999999999</v>
      </c>
      <c r="N56" s="23">
        <v>52.572000000000003</v>
      </c>
      <c r="O56" s="24">
        <v>131</v>
      </c>
      <c r="P56" s="25">
        <v>99.242000000000004</v>
      </c>
      <c r="Q56" s="26">
        <v>15.727</v>
      </c>
      <c r="R56" s="31">
        <f t="shared" si="0"/>
        <v>-1.5150000000000006</v>
      </c>
      <c r="S56" s="31">
        <f t="shared" si="1"/>
        <v>-0.75799999999999557</v>
      </c>
    </row>
    <row r="57" spans="1:19" x14ac:dyDescent="0.25">
      <c r="A57" s="10">
        <v>42</v>
      </c>
      <c r="B57" s="10">
        <v>50</v>
      </c>
      <c r="C57" s="10">
        <v>200</v>
      </c>
      <c r="D57" s="11">
        <v>3</v>
      </c>
      <c r="E57" s="10">
        <v>9</v>
      </c>
      <c r="F57" s="10">
        <v>1</v>
      </c>
      <c r="G57" s="12">
        <v>128</v>
      </c>
      <c r="H57" s="13">
        <v>0.77</v>
      </c>
      <c r="I57" s="12">
        <v>122</v>
      </c>
      <c r="J57" s="14">
        <v>95.311999999999998</v>
      </c>
      <c r="K57" s="28">
        <v>9.4E-2</v>
      </c>
      <c r="L57" s="12">
        <v>121</v>
      </c>
      <c r="M57" s="14">
        <v>94.531000000000006</v>
      </c>
      <c r="N57" s="13">
        <v>61.152999999999999</v>
      </c>
      <c r="O57" s="12">
        <v>125</v>
      </c>
      <c r="P57" s="14">
        <v>97.656000000000006</v>
      </c>
      <c r="Q57" s="13">
        <v>49.978000000000002</v>
      </c>
      <c r="R57" s="31">
        <f t="shared" si="0"/>
        <v>-0.7809999999999917</v>
      </c>
      <c r="S57" s="31">
        <f t="shared" si="1"/>
        <v>2.3440000000000083</v>
      </c>
    </row>
    <row r="58" spans="1:19" x14ac:dyDescent="0.25">
      <c r="A58" s="15">
        <v>42</v>
      </c>
      <c r="B58" s="15">
        <v>50</v>
      </c>
      <c r="C58" s="15">
        <v>500</v>
      </c>
      <c r="D58" s="16">
        <v>1</v>
      </c>
      <c r="E58" s="15">
        <v>8</v>
      </c>
      <c r="F58" s="15">
        <v>10</v>
      </c>
      <c r="G58" s="17">
        <v>288</v>
      </c>
      <c r="H58" s="18">
        <v>12.66</v>
      </c>
      <c r="I58" s="19">
        <v>282</v>
      </c>
      <c r="J58" s="20">
        <v>97.917000000000002</v>
      </c>
      <c r="K58" s="29">
        <v>0.42899999999999999</v>
      </c>
      <c r="L58" s="21">
        <v>288</v>
      </c>
      <c r="M58" s="22">
        <v>100</v>
      </c>
      <c r="N58" s="23">
        <v>102.071</v>
      </c>
      <c r="O58" s="24">
        <v>286</v>
      </c>
      <c r="P58" s="25">
        <v>99.305999999999997</v>
      </c>
      <c r="Q58" s="26">
        <v>57.03</v>
      </c>
      <c r="R58" s="31">
        <f t="shared" si="0"/>
        <v>2.0829999999999984</v>
      </c>
      <c r="S58" s="31">
        <f t="shared" si="1"/>
        <v>1.3889999999999958</v>
      </c>
    </row>
    <row r="59" spans="1:19" x14ac:dyDescent="0.25">
      <c r="A59" s="10">
        <v>42</v>
      </c>
      <c r="B59" s="10">
        <v>50</v>
      </c>
      <c r="C59" s="10">
        <v>500</v>
      </c>
      <c r="D59" s="11">
        <v>2</v>
      </c>
      <c r="E59" s="10">
        <v>21</v>
      </c>
      <c r="F59" s="10">
        <v>1</v>
      </c>
      <c r="G59" s="12">
        <v>329</v>
      </c>
      <c r="H59" s="13">
        <v>2.48</v>
      </c>
      <c r="I59" s="12">
        <v>323</v>
      </c>
      <c r="J59" s="14">
        <v>98.176000000000002</v>
      </c>
      <c r="K59" s="28">
        <v>0.57399999999999995</v>
      </c>
      <c r="L59" s="12">
        <v>318</v>
      </c>
      <c r="M59" s="14">
        <v>96.656999999999996</v>
      </c>
      <c r="N59" s="13">
        <v>124.053</v>
      </c>
      <c r="O59" s="12">
        <v>328</v>
      </c>
      <c r="P59" s="14">
        <v>99.695999999999998</v>
      </c>
      <c r="Q59" s="13">
        <v>199.08199999999999</v>
      </c>
      <c r="R59" s="31">
        <f t="shared" si="0"/>
        <v>-1.5190000000000055</v>
      </c>
      <c r="S59" s="31">
        <f t="shared" si="1"/>
        <v>1.519999999999996</v>
      </c>
    </row>
    <row r="60" spans="1:19" x14ac:dyDescent="0.25">
      <c r="A60" s="15">
        <v>42</v>
      </c>
      <c r="B60" s="15">
        <v>50</v>
      </c>
      <c r="C60" s="15">
        <v>500</v>
      </c>
      <c r="D60" s="16">
        <v>3</v>
      </c>
      <c r="E60" s="15">
        <v>11</v>
      </c>
      <c r="F60" s="15">
        <v>1</v>
      </c>
      <c r="G60" s="17">
        <v>315</v>
      </c>
      <c r="H60" s="18">
        <v>2.64</v>
      </c>
      <c r="I60" s="19">
        <v>303</v>
      </c>
      <c r="J60" s="20">
        <v>96.19</v>
      </c>
      <c r="K60" s="29">
        <v>0.70799999999999996</v>
      </c>
      <c r="L60" s="21">
        <v>299</v>
      </c>
      <c r="M60" s="22">
        <v>94.921000000000006</v>
      </c>
      <c r="N60" s="23">
        <v>158.714</v>
      </c>
      <c r="O60" s="24">
        <v>308</v>
      </c>
      <c r="P60" s="25">
        <v>97.778000000000006</v>
      </c>
      <c r="Q60" s="26">
        <v>71.113</v>
      </c>
      <c r="R60" s="31">
        <f t="shared" si="0"/>
        <v>-1.2689999999999912</v>
      </c>
      <c r="S60" s="31">
        <f t="shared" si="1"/>
        <v>1.5880000000000081</v>
      </c>
    </row>
    <row r="61" spans="1:19" x14ac:dyDescent="0.25">
      <c r="Q61" s="38" t="s">
        <v>17</v>
      </c>
      <c r="R61" s="39">
        <f>AVERAGE(R3:R60)</f>
        <v>2.3699999999999997</v>
      </c>
      <c r="S61" s="39">
        <f>AVERAGE(S3:S60)</f>
        <v>3.3495862068965518</v>
      </c>
    </row>
    <row r="62" spans="1:19" x14ac:dyDescent="0.25">
      <c r="A62" s="27"/>
    </row>
  </sheetData>
  <mergeCells count="6">
    <mergeCell ref="R1:S1"/>
    <mergeCell ref="L1:N1"/>
    <mergeCell ref="O1:Q1"/>
    <mergeCell ref="G1:H1"/>
    <mergeCell ref="A1:F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Simplified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Viet  Dung</cp:lastModifiedBy>
  <dcterms:created xsi:type="dcterms:W3CDTF">2026-07-26T12:02:58Z</dcterms:created>
  <dcterms:modified xsi:type="dcterms:W3CDTF">2026-07-26T14:26:16Z</dcterms:modified>
</cp:coreProperties>
</file>